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company_evaluation\CSV\"/>
    </mc:Choice>
  </mc:AlternateContent>
  <xr:revisionPtr revIDLastSave="0" documentId="13_ncr:1_{BC77F65A-640D-4461-9940-8FA574B89E82}" xr6:coauthVersionLast="47" xr6:coauthVersionMax="47" xr10:uidLastSave="{00000000-0000-0000-0000-000000000000}"/>
  <bookViews>
    <workbookView xWindow="-120" yWindow="-120" windowWidth="20730" windowHeight="11040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" l="1"/>
  <c r="G10" i="1"/>
  <c r="J39" i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AD3" i="2"/>
  <c r="AD2" i="2"/>
  <c r="A1" i="1"/>
  <c r="I2" i="1"/>
</calcChain>
</file>

<file path=xl/sharedStrings.xml><?xml version="1.0" encoding="utf-8"?>
<sst xmlns="http://schemas.openxmlformats.org/spreadsheetml/2006/main" count="121" uniqueCount="45">
  <si>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</si>
  <si>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</si>
  <si>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</si>
  <si>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</si>
  <si>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社会人歴</t>
    <rPh sb="0" eb="2">
      <t>シャカイ</t>
    </rPh>
    <rPh sb="2" eb="3">
      <t>ジン</t>
    </rPh>
    <rPh sb="3" eb="4">
      <t>レキ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</si>
  <si>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</si>
  <si>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</si>
  <si>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</si>
  <si>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</si>
  <si>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</si>
  <si>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</si>
  <si>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</si>
  <si>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</si>
  <si>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</si>
  <si>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</si>
  <si>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</si>
  <si>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松家 もえ</t>
  </si>
  <si>
    <t>-</t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</si>
  <si>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</si>
  <si>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</si>
  <si>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</si>
  <si>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</si>
  <si>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</si>
  <si>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</si>
  <si>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</si>
  <si>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</si>
  <si>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0年目</t>
  </si>
  <si>
    <t>20代</t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</si>
  <si>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</si>
  <si>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</si>
  <si>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</si>
  <si>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</si>
  <si>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専門卒(3年)</t>
  </si>
  <si>
    <t>TQ007</t>
  </si>
  <si>
    <t>TQ008</t>
  </si>
  <si>
    <t>伊藤 愛香</t>
  </si>
  <si>
    <t>0代</t>
  </si>
  <si>
    <t>TQ002</t>
  </si>
  <si>
    <t>TQ003</t>
  </si>
  <si>
    <t>TQ004</t>
  </si>
  <si>
    <t>加藤 千瑞</t>
  </si>
  <si>
    <t>CC001</t>
  </si>
  <si>
    <t>CC002</t>
  </si>
  <si>
    <t>CC003</t>
  </si>
  <si>
    <t>CC004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</si>
</sst>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&quot;年&quot;m&quot;月&quot;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" fontId="0" fillId="0" borderId="0" xfId="0" applyNumberFormat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200025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8</xdr:row>
          <xdr:rowOff>47625</xdr:rowOff>
        </xdr:from>
        <xdr:to>
          <xdr:col>15</xdr:col>
          <xdr:colOff>19050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tabSelected="1" view="pageBreakPreview" zoomScale="115" zoomScaleNormal="100" zoomScaleSheetLayoutView="115" workbookViewId="0">
      <selection activeCell="M2" sqref="M2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37" t="s">
        <v>15</v>
      </c>
      <c r="C1" s="37"/>
      <c r="D1" s="37"/>
      <c r="E1" s="37"/>
      <c r="F1" s="37"/>
      <c r="G1" s="37"/>
      <c r="H1" s="1" t="s">
        <v>18</v>
      </c>
      <c r="I1" s="38">
        <f>CSV!A4</f>
        <v>0</v>
      </c>
      <c r="J1" s="38"/>
    </row>
    <row r="2" spans="1:12" x14ac:dyDescent="0.4">
      <c r="B2" s="37"/>
      <c r="C2" s="37"/>
      <c r="D2" s="37"/>
      <c r="E2" s="37"/>
      <c r="F2" s="37"/>
      <c r="G2" s="37"/>
      <c r="H2" s="15" t="s">
        <v>19</v>
      </c>
      <c r="I2" s="26">
        <f ca="1">TODAY()</f>
        <v>45174</v>
      </c>
      <c r="J2" s="26"/>
      <c r="L2" s="4"/>
    </row>
    <row r="3" spans="1:12" x14ac:dyDescent="0.4">
      <c r="A3">
        <v>31</v>
      </c>
      <c r="L3" s="4"/>
    </row>
    <row r="4" spans="1:12" ht="21" customHeight="1" x14ac:dyDescent="0.4">
      <c r="B4" s="27" t="s">
        <v>0</v>
      </c>
      <c r="C4" s="27"/>
      <c r="D4" s="27"/>
      <c r="E4" s="27" t="s">
        <v>1</v>
      </c>
      <c r="F4" s="27"/>
      <c r="G4" s="2" t="s">
        <v>2</v>
      </c>
      <c r="H4" s="27" t="s">
        <v>3</v>
      </c>
      <c r="I4" s="27"/>
      <c r="J4" s="16" t="s">
        <v>4</v>
      </c>
    </row>
    <row r="5" spans="1:12" ht="26.1" customHeight="1" x14ac:dyDescent="0.4">
      <c r="B5" s="28">
        <f>CSV!B4</f>
        <v>0</v>
      </c>
      <c r="C5" s="28"/>
      <c r="D5" s="28"/>
      <c r="E5" s="29">
        <f>CSV!C4</f>
        <v>0</v>
      </c>
      <c r="F5" s="29"/>
      <c r="G5" s="3">
        <f>CSV!D4</f>
        <v>0</v>
      </c>
      <c r="H5" s="30">
        <f>CSV!E4</f>
        <v>0</v>
      </c>
      <c r="I5" s="31"/>
      <c r="J5" s="13">
        <f>CSV!F4</f>
        <v>0</v>
      </c>
    </row>
    <row r="7" spans="1:12" x14ac:dyDescent="0.4">
      <c r="B7" s="27" t="s">
        <v>5</v>
      </c>
      <c r="C7" s="27"/>
      <c r="D7" s="27"/>
      <c r="E7" s="27" t="s">
        <v>6</v>
      </c>
      <c r="F7" s="27"/>
      <c r="G7" s="27"/>
      <c r="H7" s="17"/>
      <c r="I7" s="17"/>
      <c r="J7" s="17"/>
    </row>
    <row r="8" spans="1:12" x14ac:dyDescent="0.4">
      <c r="B8" s="39">
        <f>CSV!G4</f>
        <v>0</v>
      </c>
      <c r="C8" s="40"/>
      <c r="D8" s="41"/>
      <c r="E8" s="42">
        <f>CSV!H4</f>
        <v>0</v>
      </c>
      <c r="F8" s="42"/>
      <c r="G8" s="42"/>
      <c r="H8" s="17"/>
      <c r="I8" s="17"/>
      <c r="J8" s="17"/>
    </row>
    <row r="9" spans="1:12" x14ac:dyDescent="0.4">
      <c r="B9" s="49" t="s">
        <v>7</v>
      </c>
      <c r="C9" s="50"/>
      <c r="D9" s="51"/>
      <c r="E9" s="5"/>
      <c r="F9" s="48" t="s">
        <v>22</v>
      </c>
      <c r="G9" s="52"/>
      <c r="H9" s="27" t="s">
        <v>9</v>
      </c>
      <c r="I9" s="2" t="s">
        <v>20</v>
      </c>
      <c r="J9" s="2" t="s">
        <v>21</v>
      </c>
    </row>
    <row r="10" spans="1:12" x14ac:dyDescent="0.4">
      <c r="B10" s="6" t="s">
        <v>10</v>
      </c>
      <c r="C10" s="7">
        <f>CSV!K4</f>
        <v>0</v>
      </c>
      <c r="D10" s="8" t="s">
        <v>11</v>
      </c>
      <c r="E10" s="32"/>
      <c r="F10" s="33" t="s">
        <v>10</v>
      </c>
      <c r="G10" s="35">
        <f>IFERROR(C10*4,"")</f>
        <v>0</v>
      </c>
      <c r="H10" s="27"/>
      <c r="I10" s="28">
        <f>CSV!I4</f>
        <v>0</v>
      </c>
      <c r="J10" s="28">
        <f>CSV!J4</f>
        <v>0</v>
      </c>
    </row>
    <row r="11" spans="1:12" x14ac:dyDescent="0.4">
      <c r="B11" s="9" t="s">
        <v>12</v>
      </c>
      <c r="C11" s="10">
        <f>CSV!L4</f>
        <v>0</v>
      </c>
      <c r="D11" s="11" t="s">
        <v>11</v>
      </c>
      <c r="E11" s="32"/>
      <c r="F11" s="34"/>
      <c r="G11" s="36"/>
      <c r="H11" s="27"/>
      <c r="I11" s="28"/>
      <c r="J11" s="28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46" t="s">
        <v>12</v>
      </c>
      <c r="C13" s="27" t="s">
        <v>8</v>
      </c>
      <c r="D13" s="27"/>
      <c r="E13" s="5"/>
      <c r="F13" s="23" t="s">
        <v>13</v>
      </c>
      <c r="G13" s="24" t="s">
        <v>31</v>
      </c>
      <c r="H13" s="25">
        <f>CSV!AE4</f>
        <v>0</v>
      </c>
      <c r="I13" s="5"/>
      <c r="J13" s="5"/>
    </row>
    <row r="14" spans="1:12" ht="12.6" customHeight="1" x14ac:dyDescent="0.4">
      <c r="B14" s="47"/>
      <c r="C14" s="28">
        <f>IFERROR(C11*2,"")</f>
        <v>0</v>
      </c>
      <c r="D14" s="28"/>
      <c r="E14" s="5"/>
      <c r="F14" s="45">
        <f>CSV!AD4</f>
        <v>0</v>
      </c>
      <c r="G14" s="43">
        <f>CSV!M4</f>
        <v>0</v>
      </c>
      <c r="H14" s="43"/>
      <c r="I14" s="5"/>
      <c r="J14" s="5"/>
    </row>
    <row r="15" spans="1:12" ht="12.6" customHeight="1" x14ac:dyDescent="0.4">
      <c r="B15" s="47"/>
      <c r="C15" s="28"/>
      <c r="D15" s="28"/>
      <c r="E15" s="5"/>
      <c r="F15" s="45"/>
      <c r="G15" s="44"/>
      <c r="H15" s="44"/>
      <c r="I15" s="5"/>
      <c r="J15" s="5"/>
    </row>
    <row r="16" spans="1:12" ht="12.6" customHeight="1" x14ac:dyDescent="0.4">
      <c r="B16" s="48"/>
      <c r="C16" s="28"/>
      <c r="D16" s="28"/>
      <c r="E16" s="5"/>
      <c r="F16" s="45"/>
      <c r="G16" s="44"/>
      <c r="H16" s="44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7" t="s">
        <v>14</v>
      </c>
      <c r="C18" s="27"/>
      <c r="D18" s="27"/>
      <c r="E18" s="27"/>
      <c r="F18" s="27"/>
      <c r="G18" s="27"/>
      <c r="H18" s="27"/>
      <c r="I18" s="27"/>
      <c r="J18" s="27"/>
    </row>
    <row r="19" spans="2:10" x14ac:dyDescent="0.4">
      <c r="B19" s="19" t="s">
        <v>30</v>
      </c>
      <c r="C19" s="2" t="s">
        <v>20</v>
      </c>
      <c r="D19" s="2" t="s">
        <v>21</v>
      </c>
      <c r="E19" s="19" t="s">
        <v>30</v>
      </c>
      <c r="F19" s="2" t="s">
        <v>20</v>
      </c>
      <c r="G19" s="2" t="s">
        <v>21</v>
      </c>
      <c r="H19" s="19" t="s">
        <v>30</v>
      </c>
      <c r="I19" s="2" t="s">
        <v>20</v>
      </c>
      <c r="J19" s="2" t="s">
        <v>21</v>
      </c>
    </row>
    <row r="20" spans="2:10" x14ac:dyDescent="0.4">
      <c r="B20" s="13">
        <f>CSV!AL4</f>
        <v>0</v>
      </c>
      <c r="C20" s="13">
        <f>CSV!AM4</f>
        <v>0</v>
      </c>
      <c r="D20" s="13">
        <f>CSV!AN4</f>
        <v>0</v>
      </c>
      <c r="E20" s="13">
        <f>CSV!AO4</f>
        <v>0</v>
      </c>
      <c r="F20" s="13">
        <f>CSV!AP4</f>
        <v>0</v>
      </c>
      <c r="G20" s="13">
        <f>CSV!AQ4</f>
        <v>0</v>
      </c>
      <c r="H20" s="13">
        <f>CSV!AR4</f>
        <v>0</v>
      </c>
      <c r="I20" s="13">
        <f>CSV!AS4</f>
        <v>0</v>
      </c>
      <c r="J20" s="13">
        <f>CSV!AT4</f>
        <v>0</v>
      </c>
    </row>
    <row r="21" spans="2:10" x14ac:dyDescent="0.4">
      <c r="B21" s="13">
        <f>CSV!AU4</f>
        <v>0</v>
      </c>
      <c r="C21" s="13">
        <f>CSV!AV4</f>
        <v>0</v>
      </c>
      <c r="D21" s="13">
        <f>CSV!AW4</f>
        <v>0</v>
      </c>
      <c r="E21" s="13">
        <f>CSV!AX4</f>
        <v>0</v>
      </c>
      <c r="F21" s="13">
        <f>CSV!AY4</f>
        <v>0</v>
      </c>
      <c r="G21" s="13">
        <f>CSV!AZ4</f>
        <v>0</v>
      </c>
      <c r="H21" s="13">
        <f>CSV!BA4</f>
        <v>0</v>
      </c>
      <c r="I21" s="13">
        <f>CSV!BB4</f>
        <v>0</v>
      </c>
      <c r="J21" s="13">
        <f>CSV!BC4</f>
        <v>0</v>
      </c>
    </row>
    <row r="22" spans="2:10" x14ac:dyDescent="0.4">
      <c r="B22" s="13">
        <f>CSV!BD4</f>
        <v>0</v>
      </c>
      <c r="C22" s="13">
        <f>CSV!BE4</f>
        <v>0</v>
      </c>
      <c r="D22" s="13">
        <f>CSV!BF4</f>
        <v>0</v>
      </c>
      <c r="E22" s="13">
        <f>CSV!BG4</f>
        <v>0</v>
      </c>
      <c r="F22" s="13">
        <f>CSV!BH4</f>
        <v>0</v>
      </c>
      <c r="G22" s="13">
        <f>CSV!BI4</f>
        <v>0</v>
      </c>
      <c r="H22" s="13">
        <f>CSV!BJ4</f>
        <v>0</v>
      </c>
      <c r="I22" s="13">
        <f>CSV!BK4</f>
        <v>0</v>
      </c>
      <c r="J22" s="13">
        <f>CSV!BL4</f>
        <v>0</v>
      </c>
    </row>
    <row r="23" spans="2:10" x14ac:dyDescent="0.4">
      <c r="B23" s="13">
        <f>CSV!BM4</f>
        <v>0</v>
      </c>
      <c r="C23" s="13">
        <f>CSV!BN4</f>
        <v>0</v>
      </c>
      <c r="D23" s="13">
        <f>CSV!BO4</f>
        <v>0</v>
      </c>
      <c r="E23" s="13">
        <f>CSV!BP4</f>
        <v>0</v>
      </c>
      <c r="F23" s="13">
        <f>CSV!BQ4</f>
        <v>0</v>
      </c>
      <c r="G23" s="13">
        <f>CSV!BR4</f>
        <v>0</v>
      </c>
      <c r="H23" s="13">
        <f>CSV!BS4</f>
        <v>0</v>
      </c>
      <c r="I23" s="13">
        <f>CSV!BT4</f>
        <v>0</v>
      </c>
      <c r="J23" s="13">
        <f>CSV!BU4</f>
        <v>0</v>
      </c>
    </row>
    <row r="24" spans="2:10" x14ac:dyDescent="0.4">
      <c r="B24" s="13">
        <f>CSV!BV4</f>
        <v>0</v>
      </c>
      <c r="C24" s="13">
        <f>CSV!BW4</f>
        <v>0</v>
      </c>
      <c r="D24" s="13">
        <f>CSV!BX4</f>
        <v>0</v>
      </c>
      <c r="E24" s="13">
        <f>CSV!BY4</f>
        <v>0</v>
      </c>
      <c r="F24" s="13">
        <f>CSV!BZ4</f>
        <v>0</v>
      </c>
      <c r="G24" s="13">
        <f>CSV!CA4</f>
        <v>0</v>
      </c>
      <c r="H24" s="13">
        <f>CSV!CB4</f>
        <v>0</v>
      </c>
      <c r="I24" s="13">
        <f>CSV!CC4</f>
        <v>0</v>
      </c>
      <c r="J24" s="13">
        <f>CSV!CD4</f>
        <v>0</v>
      </c>
    </row>
    <row r="25" spans="2:10" x14ac:dyDescent="0.4">
      <c r="B25" s="13">
        <f>CSV!CE4</f>
        <v>0</v>
      </c>
      <c r="C25" s="13">
        <f>CSV!CF4</f>
        <v>0</v>
      </c>
      <c r="D25" s="13">
        <f>CSV!CG4</f>
        <v>0</v>
      </c>
      <c r="E25" s="13">
        <f>CSV!CH4</f>
        <v>0</v>
      </c>
      <c r="F25" s="13">
        <f>CSV!CI4</f>
        <v>0</v>
      </c>
      <c r="G25" s="13">
        <f>CSV!CJ4</f>
        <v>0</v>
      </c>
      <c r="H25" s="13">
        <f>CSV!CK4</f>
        <v>0</v>
      </c>
      <c r="I25" s="13">
        <f>CSV!CL4</f>
        <v>0</v>
      </c>
      <c r="J25" s="13">
        <f>CSV!CM4</f>
        <v>0</v>
      </c>
    </row>
    <row r="26" spans="2:10" x14ac:dyDescent="0.4">
      <c r="B26" s="13">
        <f>CSV!CN4</f>
        <v>0</v>
      </c>
      <c r="C26" s="13">
        <f>CSV!CO4</f>
        <v>0</v>
      </c>
      <c r="D26" s="13">
        <f>CSV!CP4</f>
        <v>0</v>
      </c>
      <c r="E26" s="13">
        <f>CSV!CQ4</f>
        <v>0</v>
      </c>
      <c r="F26" s="13">
        <f>CSV!CR4</f>
        <v>0</v>
      </c>
      <c r="G26" s="13">
        <f>CSV!CS4</f>
        <v>0</v>
      </c>
      <c r="H26" s="13">
        <f>CSV!CT4</f>
        <v>0</v>
      </c>
      <c r="I26" s="13">
        <f>CSV!CU4</f>
        <v>0</v>
      </c>
      <c r="J26" s="13">
        <f>CSV!CV4</f>
        <v>0</v>
      </c>
    </row>
    <row r="27" spans="2:10" x14ac:dyDescent="0.4">
      <c r="B27" s="13">
        <f>CSV!CW4</f>
        <v>0</v>
      </c>
      <c r="C27" s="13">
        <f>CSV!CX4</f>
        <v>0</v>
      </c>
      <c r="D27" s="13">
        <f>CSV!CY4</f>
        <v>0</v>
      </c>
      <c r="E27" s="13">
        <f>CSV!CZ4</f>
        <v>0</v>
      </c>
      <c r="F27" s="13">
        <f>CSV!DA4</f>
        <v>0</v>
      </c>
      <c r="G27" s="13">
        <f>CSV!DB4</f>
        <v>0</v>
      </c>
      <c r="H27" s="13">
        <f>CSV!DC4</f>
        <v>0</v>
      </c>
      <c r="I27" s="13">
        <f>CSV!DD4</f>
        <v>0</v>
      </c>
      <c r="J27" s="13">
        <f>CSV!DE4</f>
        <v>0</v>
      </c>
    </row>
    <row r="28" spans="2:10" x14ac:dyDescent="0.4">
      <c r="B28" s="13">
        <f>CSV!DF4</f>
        <v>0</v>
      </c>
      <c r="C28" s="13">
        <f>CSV!DG4</f>
        <v>0</v>
      </c>
      <c r="D28" s="13">
        <f>CSV!DH4</f>
        <v>0</v>
      </c>
      <c r="E28" s="13">
        <f>CSV!DI4</f>
        <v>0</v>
      </c>
      <c r="F28" s="13">
        <f>CSV!DJ4</f>
        <v>0</v>
      </c>
      <c r="G28" s="13">
        <f>CSV!DK4</f>
        <v>0</v>
      </c>
      <c r="H28" s="13">
        <f>CSV!DL4</f>
        <v>0</v>
      </c>
      <c r="I28" s="13">
        <f>CSV!DM4</f>
        <v>0</v>
      </c>
      <c r="J28" s="13">
        <f>CSV!DN4</f>
        <v>0</v>
      </c>
    </row>
    <row r="29" spans="2:10" x14ac:dyDescent="0.4">
      <c r="B29" s="13">
        <f>CSV!DO4</f>
        <v>0</v>
      </c>
      <c r="C29" s="13">
        <f>CSV!DP4</f>
        <v>0</v>
      </c>
      <c r="D29" s="13">
        <f>CSV!DQ4</f>
        <v>0</v>
      </c>
      <c r="E29" s="13">
        <f>CSV!DR4</f>
        <v>0</v>
      </c>
      <c r="F29" s="13">
        <f>CSV!DS4</f>
        <v>0</v>
      </c>
      <c r="G29" s="13">
        <f>CSV!DT4</f>
        <v>0</v>
      </c>
      <c r="H29" s="13">
        <f>CSV!DU4</f>
        <v>0</v>
      </c>
      <c r="I29" s="13">
        <f>CSV!DV4</f>
        <v>0</v>
      </c>
      <c r="J29" s="13">
        <f>CSV!DW4</f>
        <v>0</v>
      </c>
    </row>
    <row r="30" spans="2:10" x14ac:dyDescent="0.4">
      <c r="B30" s="13">
        <f>CSV!DX4</f>
        <v>0</v>
      </c>
      <c r="C30" s="13">
        <f>CSV!DY4</f>
        <v>0</v>
      </c>
      <c r="D30" s="13">
        <f>CSV!DZ4</f>
        <v>0</v>
      </c>
      <c r="E30" s="13">
        <f>CSV!EA4</f>
        <v>0</v>
      </c>
      <c r="F30" s="13">
        <f>CSV!EB4</f>
        <v>0</v>
      </c>
      <c r="G30" s="13">
        <f>CSV!EC4</f>
        <v>0</v>
      </c>
      <c r="H30" s="13">
        <f>CSV!ED4</f>
        <v>0</v>
      </c>
      <c r="I30" s="13">
        <f>CSV!EE4</f>
        <v>0</v>
      </c>
      <c r="J30" s="13">
        <f>CSV!EF4</f>
        <v>0</v>
      </c>
    </row>
    <row r="31" spans="2:10" x14ac:dyDescent="0.4">
      <c r="B31" s="13">
        <f>CSV!EG4</f>
        <v>0</v>
      </c>
      <c r="C31" s="13">
        <f>CSV!EH4</f>
        <v>0</v>
      </c>
      <c r="D31" s="13">
        <f>CSV!EI4</f>
        <v>0</v>
      </c>
      <c r="E31" s="13">
        <f>CSV!EJ4</f>
        <v>0</v>
      </c>
      <c r="F31" s="13">
        <f>CSV!EK4</f>
        <v>0</v>
      </c>
      <c r="G31" s="13">
        <f>CSV!EL4</f>
        <v>0</v>
      </c>
      <c r="H31" s="13">
        <f>CSV!EM4</f>
        <v>0</v>
      </c>
      <c r="I31" s="13">
        <f>CSV!EN4</f>
        <v>0</v>
      </c>
      <c r="J31" s="13">
        <f>CSV!EO4</f>
        <v>0</v>
      </c>
    </row>
    <row r="32" spans="2:10" x14ac:dyDescent="0.4">
      <c r="B32" s="13">
        <f>CSV!EP4</f>
        <v>0</v>
      </c>
      <c r="C32" s="13">
        <f>CSV!EQ4</f>
        <v>0</v>
      </c>
      <c r="D32" s="13">
        <f>CSV!ER4</f>
        <v>0</v>
      </c>
      <c r="E32" s="13">
        <f>CSV!ES4</f>
        <v>0</v>
      </c>
      <c r="F32" s="13">
        <f>CSV!ET4</f>
        <v>0</v>
      </c>
      <c r="G32" s="13">
        <f>CSV!EU4</f>
        <v>0</v>
      </c>
      <c r="H32" s="13">
        <f>CSV!EV4</f>
        <v>0</v>
      </c>
      <c r="I32" s="13">
        <f>CSV!EW4</f>
        <v>0</v>
      </c>
      <c r="J32" s="13">
        <f>CSV!EX4</f>
        <v>0</v>
      </c>
    </row>
    <row r="33" spans="2:10" x14ac:dyDescent="0.4">
      <c r="B33" s="13">
        <f>CSV!EY4</f>
        <v>0</v>
      </c>
      <c r="C33" s="13">
        <f>CSV!EZ4</f>
        <v>0</v>
      </c>
      <c r="D33" s="13">
        <f>CSV!FA4</f>
        <v>0</v>
      </c>
      <c r="E33" s="13">
        <f>CSV!FB4</f>
        <v>0</v>
      </c>
      <c r="F33" s="13">
        <f>CSV!FC4</f>
        <v>0</v>
      </c>
      <c r="G33" s="13">
        <f>CSV!FD4</f>
        <v>0</v>
      </c>
      <c r="H33" s="13">
        <f>CSV!FE4</f>
        <v>0</v>
      </c>
      <c r="I33" s="13">
        <f>CSV!FF4</f>
        <v>0</v>
      </c>
      <c r="J33" s="13">
        <f>CSV!FG4</f>
        <v>0</v>
      </c>
    </row>
    <row r="34" spans="2:10" x14ac:dyDescent="0.4">
      <c r="B34" s="13">
        <f>CSV!FH4</f>
        <v>0</v>
      </c>
      <c r="C34" s="13">
        <f>CSV!FI4</f>
        <v>0</v>
      </c>
      <c r="D34" s="13">
        <f>CSV!FJ4</f>
        <v>0</v>
      </c>
      <c r="E34" s="13">
        <f>CSV!FK4</f>
        <v>0</v>
      </c>
      <c r="F34" s="13">
        <f>CSV!FL4</f>
        <v>0</v>
      </c>
      <c r="G34" s="13">
        <f>CSV!FM4</f>
        <v>0</v>
      </c>
      <c r="H34" s="13">
        <f>CSV!FN4</f>
        <v>0</v>
      </c>
      <c r="I34" s="13">
        <f>CSV!FO4</f>
        <v>0</v>
      </c>
      <c r="J34" s="13">
        <f>CSV!FP4</f>
        <v>0</v>
      </c>
    </row>
    <row r="35" spans="2:10" x14ac:dyDescent="0.4">
      <c r="B35" s="13">
        <f>CSV!FQ4</f>
        <v>0</v>
      </c>
      <c r="C35" s="13">
        <f>CSV!FR4</f>
        <v>0</v>
      </c>
      <c r="D35" s="13">
        <f>CSV!FS4</f>
        <v>0</v>
      </c>
      <c r="E35" s="13">
        <f>CSV!FT4</f>
        <v>0</v>
      </c>
      <c r="F35" s="13">
        <f>CSV!FU4</f>
        <v>0</v>
      </c>
      <c r="G35" s="13">
        <f>CSV!FV4</f>
        <v>0</v>
      </c>
      <c r="H35" s="13">
        <f>CSV!FW4</f>
        <v>0</v>
      </c>
      <c r="I35" s="13">
        <f>CSV!FX4</f>
        <v>0</v>
      </c>
      <c r="J35" s="13">
        <f>CSV!FY4</f>
        <v>0</v>
      </c>
    </row>
    <row r="36" spans="2:10" x14ac:dyDescent="0.4">
      <c r="B36" s="13">
        <f>CSV!FZ4</f>
        <v>0</v>
      </c>
      <c r="C36" s="13">
        <f>CSV!GA4</f>
        <v>0</v>
      </c>
      <c r="D36" s="13">
        <f>CSV!GB4</f>
        <v>0</v>
      </c>
      <c r="E36" s="13">
        <f>CSV!GC4</f>
        <v>0</v>
      </c>
      <c r="F36" s="13">
        <f>CSV!GD4</f>
        <v>0</v>
      </c>
      <c r="G36" s="13">
        <f>CSV!GE4</f>
        <v>0</v>
      </c>
      <c r="H36" s="13">
        <f>CSV!GF4</f>
        <v>0</v>
      </c>
      <c r="I36" s="13">
        <f>CSV!GG4</f>
        <v>0</v>
      </c>
      <c r="J36" s="13">
        <f>CSV!GH4</f>
        <v>0</v>
      </c>
    </row>
    <row r="37" spans="2:10" x14ac:dyDescent="0.4">
      <c r="B37" s="13">
        <f>CSV!GI4</f>
        <v>0</v>
      </c>
      <c r="C37" s="13">
        <f>CSV!GJ4</f>
        <v>0</v>
      </c>
      <c r="D37" s="13">
        <f>CSV!GK4</f>
        <v>0</v>
      </c>
      <c r="E37" s="13">
        <f>CSV!GL4</f>
        <v>0</v>
      </c>
      <c r="F37" s="13">
        <f>CSV!GM4</f>
        <v>0</v>
      </c>
      <c r="G37" s="13">
        <f>CSV!GN4</f>
        <v>0</v>
      </c>
      <c r="H37" s="13">
        <f>CSV!GO4</f>
        <v>0</v>
      </c>
      <c r="I37" s="13">
        <f>CSV!GP4</f>
        <v>0</v>
      </c>
      <c r="J37" s="13">
        <f>CSV!GQ4</f>
        <v>0</v>
      </c>
    </row>
    <row r="38" spans="2:10" x14ac:dyDescent="0.4">
      <c r="B38" s="13">
        <f>CSV!GR4</f>
        <v>0</v>
      </c>
      <c r="C38" s="13">
        <f>CSV!GS4</f>
        <v>0</v>
      </c>
      <c r="D38" s="13">
        <f>CSV!GT4</f>
        <v>0</v>
      </c>
      <c r="E38" s="13">
        <f>CSV!GU4</f>
        <v>0</v>
      </c>
      <c r="F38" s="13">
        <f>CSV!GV4</f>
        <v>0</v>
      </c>
      <c r="G38" s="13">
        <f>CSV!GW4</f>
        <v>0</v>
      </c>
      <c r="H38" s="13">
        <f>CSV!GX4</f>
        <v>0</v>
      </c>
      <c r="I38" s="13">
        <f>CSV!GY4</f>
        <v>0</v>
      </c>
      <c r="J38" s="13">
        <f>CSV!GZ4</f>
        <v>0</v>
      </c>
    </row>
    <row r="39" spans="2:10" x14ac:dyDescent="0.4">
      <c r="B39" s="13">
        <f>CSV!HA4</f>
        <v>0</v>
      </c>
      <c r="C39" s="13">
        <f>CSV!HB4</f>
        <v>0</v>
      </c>
      <c r="D39" s="13">
        <f>CSV!HC4</f>
        <v>0</v>
      </c>
      <c r="E39" s="13">
        <f>CSV!HD4</f>
        <v>0</v>
      </c>
      <c r="F39" s="13">
        <f>CSV!HE4</f>
        <v>0</v>
      </c>
      <c r="G39" s="13">
        <f>CSV!HF4</f>
        <v>0</v>
      </c>
      <c r="H39" s="13">
        <f>CSV!HG4</f>
        <v>0</v>
      </c>
      <c r="I39" s="13">
        <f>CSV!HH4</f>
        <v>0</v>
      </c>
      <c r="J39" s="13">
        <f>CSV!HI4</f>
        <v>0</v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23</v>
      </c>
      <c r="C42" s="19" t="s">
        <v>20</v>
      </c>
      <c r="D42" s="2" t="s">
        <v>21</v>
      </c>
      <c r="E42" s="19" t="s">
        <v>24</v>
      </c>
      <c r="F42" s="19" t="s">
        <v>20</v>
      </c>
      <c r="G42" s="2" t="s">
        <v>21</v>
      </c>
      <c r="H42" s="19" t="s">
        <v>25</v>
      </c>
      <c r="I42" s="19" t="s">
        <v>20</v>
      </c>
      <c r="J42" s="2" t="s">
        <v>21</v>
      </c>
    </row>
    <row r="43" spans="2:10" x14ac:dyDescent="0.4">
      <c r="B43" s="21">
        <f>CSV!AJ4</f>
        <v>0</v>
      </c>
      <c r="C43" s="13">
        <f>CSV!N4</f>
        <v>0</v>
      </c>
      <c r="D43" s="13">
        <f>CSV!O4</f>
        <v>0</v>
      </c>
      <c r="E43" s="21">
        <f>CSV!AH4</f>
        <v>0</v>
      </c>
      <c r="F43" s="13">
        <f>CSV!R4</f>
        <v>0</v>
      </c>
      <c r="G43" s="13">
        <f>CSV!S4</f>
        <v>0</v>
      </c>
      <c r="H43" s="21">
        <f>CSV!AF4</f>
        <v>0</v>
      </c>
      <c r="I43" s="13">
        <f>CSV!V4</f>
        <v>0</v>
      </c>
      <c r="J43" s="13">
        <f>CSV!W4</f>
        <v>0</v>
      </c>
    </row>
    <row r="44" spans="2:10" x14ac:dyDescent="0.4">
      <c r="B44" s="21">
        <f>CSV!AK4</f>
        <v>0</v>
      </c>
      <c r="C44" s="13">
        <f>CSV!P4</f>
        <v>0</v>
      </c>
      <c r="D44" s="13">
        <f>CSV!Q4</f>
        <v>0</v>
      </c>
      <c r="E44" s="21">
        <f>CSV!AI4</f>
        <v>0</v>
      </c>
      <c r="F44" s="13">
        <f>CSV!T4</f>
        <v>0</v>
      </c>
      <c r="G44" s="13">
        <f>CSV!U4</f>
        <v>0</v>
      </c>
      <c r="H44" s="21">
        <f>CSV!AG4</f>
        <v>0</v>
      </c>
      <c r="I44" s="13">
        <f>CSV!X4</f>
        <v>0</v>
      </c>
      <c r="J44" s="13">
        <f>CSV!Y4</f>
        <v>0</v>
      </c>
    </row>
    <row r="45" spans="2:10" x14ac:dyDescent="0.4">
      <c r="B45" s="22" t="s">
        <v>28</v>
      </c>
      <c r="C45" s="13">
        <f>CSV!Z4</f>
        <v>0</v>
      </c>
      <c r="D45" s="13">
        <f>CSV!AA4</f>
        <v>0</v>
      </c>
      <c r="E45" s="27" t="s">
        <v>29</v>
      </c>
      <c r="F45" s="27"/>
      <c r="G45" s="27"/>
      <c r="H45" s="27"/>
      <c r="I45" s="13">
        <f>CSV!AB4</f>
        <v>0</v>
      </c>
      <c r="J45" s="13">
        <f>CSV!AC4</f>
        <v>0</v>
      </c>
    </row>
  </sheetData>
  <mergeCells count="28"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  <mergeCell ref="E10:E11"/>
    <mergeCell ref="F10:F11"/>
    <mergeCell ref="G10:G11"/>
    <mergeCell ref="B7:D7"/>
    <mergeCell ref="E7:G7"/>
    <mergeCell ref="I2:J2"/>
    <mergeCell ref="B4:D4"/>
    <mergeCell ref="E4:F4"/>
    <mergeCell ref="H4:I4"/>
    <mergeCell ref="B5:D5"/>
    <mergeCell ref="E5:F5"/>
    <mergeCell ref="H5:I5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200025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571500</xdr:colOff>
                    <xdr:row>8</xdr:row>
                    <xdr:rowOff>47625</xdr:rowOff>
                  </from>
                  <to>
                    <xdr:col>15</xdr:col>
                    <xdr:colOff>19050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A1:AW3"/>
  <sheetViews>
    <sheetView workbookViewId="0">
      <selection activeCell="K1" sqref="K1"/>
    </sheetView>
  </sheetViews>
  <sheetFormatPr defaultRowHeight="18.75" x14ac:dyDescent="0.4"/>
  <sheetData>
    <row r="1" spans="1:49" x14ac:dyDescent="0.4">
      <c r="A1">
        <v>230001</v>
      </c>
      <c r="B1" t="s">
        <v>16</v>
      </c>
      <c r="C1" s="14">
        <v>37310</v>
      </c>
      <c r="D1">
        <v>21</v>
      </c>
      <c r="E1" s="14">
        <v>45017</v>
      </c>
      <c r="F1">
        <v>0</v>
      </c>
      <c r="G1" t="s">
        <v>32</v>
      </c>
      <c r="H1">
        <v>232000</v>
      </c>
      <c r="I1">
        <v>32</v>
      </c>
      <c r="J1">
        <v>3</v>
      </c>
      <c r="K1" t="s">
        <v>17</v>
      </c>
      <c r="L1" t="s">
        <v>17</v>
      </c>
      <c r="M1" t="s">
        <v>17</v>
      </c>
      <c r="N1" t="s">
        <v>17</v>
      </c>
      <c r="O1" t="s">
        <v>17</v>
      </c>
      <c r="P1" t="s">
        <v>17</v>
      </c>
      <c r="Q1" t="s">
        <v>17</v>
      </c>
      <c r="R1">
        <v>5</v>
      </c>
      <c r="S1">
        <v>0</v>
      </c>
      <c r="T1">
        <v>1</v>
      </c>
      <c r="U1">
        <v>0</v>
      </c>
      <c r="V1">
        <v>3</v>
      </c>
      <c r="W1">
        <v>0</v>
      </c>
      <c r="X1">
        <v>4</v>
      </c>
      <c r="Y1">
        <v>0</v>
      </c>
      <c r="Z1">
        <v>3</v>
      </c>
      <c r="AA1">
        <v>0</v>
      </c>
      <c r="AB1">
        <v>17</v>
      </c>
      <c r="AC1">
        <v>0</v>
      </c>
      <c r="AD1" t="s">
        <v>26</v>
      </c>
      <c r="AE1" t="s">
        <v>27</v>
      </c>
      <c r="AF1" t="s">
        <v>17</v>
      </c>
      <c r="AG1" t="s">
        <v>17</v>
      </c>
      <c r="AH1" s="20">
        <v>44805</v>
      </c>
      <c r="AI1" s="20">
        <v>44986</v>
      </c>
      <c r="AJ1" s="20">
        <v>44440</v>
      </c>
      <c r="AK1" s="20">
        <v>44621</v>
      </c>
      <c r="AL1" t="s">
        <v>33</v>
      </c>
      <c r="AM1">
        <v>0</v>
      </c>
      <c r="AN1">
        <v>1</v>
      </c>
      <c r="AO1" t="s">
        <v>34</v>
      </c>
      <c r="AP1">
        <v>0</v>
      </c>
      <c r="AQ1">
        <v>1</v>
      </c>
    </row>
    <row r="2" spans="1:49" x14ac:dyDescent="0.4">
      <c r="A2">
        <v>230002</v>
      </c>
      <c r="B2" t="s">
        <v>35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>
        <v>166000</v>
      </c>
      <c r="I2">
        <v>8</v>
      </c>
      <c r="J2">
        <v>3</v>
      </c>
      <c r="K2" t="s">
        <v>17</v>
      </c>
      <c r="L2" t="s">
        <v>17</v>
      </c>
      <c r="M2" t="s">
        <v>17</v>
      </c>
      <c r="N2">
        <v>5</v>
      </c>
      <c r="O2">
        <v>0</v>
      </c>
      <c r="P2" t="s">
        <v>17</v>
      </c>
      <c r="Q2" t="s">
        <v>17</v>
      </c>
      <c r="R2" t="s">
        <v>17</v>
      </c>
      <c r="S2" t="s">
        <v>17</v>
      </c>
      <c r="T2" t="s">
        <v>17</v>
      </c>
      <c r="U2" t="s">
        <v>17</v>
      </c>
      <c r="V2" t="s">
        <v>17</v>
      </c>
      <c r="W2" t="s">
        <v>17</v>
      </c>
      <c r="X2" t="s">
        <v>17</v>
      </c>
      <c r="Y2" t="s">
        <v>17</v>
      </c>
      <c r="Z2" t="s">
        <v>17</v>
      </c>
      <c r="AA2" t="s">
        <v>17</v>
      </c>
      <c r="AB2">
        <v>5</v>
      </c>
      <c r="AC2">
        <v>0</v>
      </c>
      <c r="AD2" t="e">
        <f>-年目</f>
        <v>#NAME?</v>
      </c>
      <c r="AE2" t="s">
        <v>36</v>
      </c>
      <c r="AF2" s="20">
        <v>45170</v>
      </c>
      <c r="AG2" t="s">
        <v>17</v>
      </c>
      <c r="AH2" t="s">
        <v>17</v>
      </c>
      <c r="AI2" t="s">
        <v>17</v>
      </c>
      <c r="AJ2" t="s">
        <v>17</v>
      </c>
      <c r="AK2" t="s">
        <v>17</v>
      </c>
      <c r="AL2" t="s">
        <v>37</v>
      </c>
      <c r="AM2">
        <v>3</v>
      </c>
      <c r="AN2">
        <v>0</v>
      </c>
      <c r="AO2" t="s">
        <v>38</v>
      </c>
      <c r="AP2">
        <v>0</v>
      </c>
      <c r="AQ2">
        <v>1</v>
      </c>
      <c r="AR2" t="s">
        <v>39</v>
      </c>
      <c r="AS2">
        <v>0</v>
      </c>
      <c r="AT2">
        <v>2</v>
      </c>
    </row>
    <row r="3" spans="1:49" x14ac:dyDescent="0.4">
      <c r="A3">
        <v>230003</v>
      </c>
      <c r="B3" t="s">
        <v>40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>
        <v>158000</v>
      </c>
      <c r="I3">
        <v>4</v>
      </c>
      <c r="J3">
        <v>4</v>
      </c>
      <c r="K3" t="s">
        <v>17</v>
      </c>
      <c r="L3" t="s">
        <v>17</v>
      </c>
      <c r="M3" t="s">
        <v>17</v>
      </c>
      <c r="N3">
        <v>3</v>
      </c>
      <c r="O3">
        <v>0</v>
      </c>
      <c r="P3" t="s">
        <v>17</v>
      </c>
      <c r="Q3" t="s">
        <v>17</v>
      </c>
      <c r="R3" t="s">
        <v>17</v>
      </c>
      <c r="S3" t="s">
        <v>17</v>
      </c>
      <c r="T3" t="s">
        <v>17</v>
      </c>
      <c r="U3" t="s">
        <v>17</v>
      </c>
      <c r="V3" t="s">
        <v>17</v>
      </c>
      <c r="W3" t="s">
        <v>17</v>
      </c>
      <c r="X3" t="s">
        <v>17</v>
      </c>
      <c r="Y3" t="s">
        <v>17</v>
      </c>
      <c r="Z3" t="s">
        <v>17</v>
      </c>
      <c r="AA3" t="s">
        <v>17</v>
      </c>
      <c r="AB3">
        <v>3</v>
      </c>
      <c r="AC3">
        <v>0</v>
      </c>
      <c r="AD3" t="e">
        <f>-年目</f>
        <v>#NAME?</v>
      </c>
      <c r="AE3" t="s">
        <v>36</v>
      </c>
      <c r="AF3" s="20">
        <v>45170</v>
      </c>
      <c r="AG3" t="s">
        <v>17</v>
      </c>
      <c r="AH3" t="s">
        <v>17</v>
      </c>
      <c r="AI3" t="s">
        <v>17</v>
      </c>
      <c r="AJ3" t="s">
        <v>17</v>
      </c>
      <c r="AK3" t="s">
        <v>17</v>
      </c>
      <c r="AL3" t="s">
        <v>41</v>
      </c>
      <c r="AM3">
        <v>0</v>
      </c>
      <c r="AN3">
        <v>1</v>
      </c>
      <c r="AO3" t="s">
        <v>42</v>
      </c>
      <c r="AP3">
        <v>0</v>
      </c>
      <c r="AQ3">
        <v>2</v>
      </c>
      <c r="AR3" t="s">
        <v>43</v>
      </c>
      <c r="AS3">
        <v>1</v>
      </c>
      <c r="AT3">
        <v>0</v>
      </c>
      <c r="AU3" t="s">
        <v>44</v>
      </c>
      <c r="AV3">
        <v>0</v>
      </c>
      <c r="AW3">
        <v>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2023-09-05T08:05:25Z</dcterms:modified>
</cp:coreProperties>
</file>