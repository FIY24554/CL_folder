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-kato\Desktop\"/>
    </mc:Choice>
  </mc:AlternateContent>
  <xr:revisionPtr revIDLastSave="0" documentId="13_ncr:1_{67DBB006-0A01-481C-B253-327B299C27BA}" xr6:coauthVersionLast="47" xr6:coauthVersionMax="47" xr10:uidLastSave="{00000000-0000-0000-0000-000000000000}"/>
  <bookViews>
    <workbookView xWindow="-120" yWindow="-120" windowWidth="20730" windowHeight="11040" xr2:uid="{78CE0816-4FFE-4489-9441-40E4ED8B1C64}"/>
  </bookViews>
  <sheets>
    <sheet name="個人成績評価表" sheetId="1" r:id="rId1"/>
    <sheet name="CSV" sheetId="2" r:id="rId2"/>
  </sheets>
  <definedNames>
    <definedName name="_xlnm.Print_Area" localSheetId="0">個人成績評価表!$A$1:$J$48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9" i="1" l="1"/>
  <c r="I39" i="1"/>
  <c r="H39" i="1"/>
  <c r="G39" i="1"/>
  <c r="F39" i="1"/>
  <c r="E39" i="1"/>
  <c r="D39" i="1"/>
  <c r="C39" i="1"/>
  <c r="B39" i="1"/>
  <c r="J38" i="1"/>
  <c r="I38" i="1"/>
  <c r="H38" i="1"/>
  <c r="G38" i="1"/>
  <c r="F38" i="1"/>
  <c r="E38" i="1"/>
  <c r="D38" i="1"/>
  <c r="C38" i="1"/>
  <c r="B38" i="1"/>
  <c r="J37" i="1"/>
  <c r="I37" i="1"/>
  <c r="H37" i="1"/>
  <c r="G37" i="1"/>
  <c r="F37" i="1"/>
  <c r="E37" i="1"/>
  <c r="D37" i="1"/>
  <c r="C37" i="1"/>
  <c r="B37" i="1"/>
  <c r="J36" i="1"/>
  <c r="I36" i="1"/>
  <c r="H36" i="1"/>
  <c r="G36" i="1"/>
  <c r="F36" i="1"/>
  <c r="E36" i="1"/>
  <c r="D36" i="1"/>
  <c r="C36" i="1"/>
  <c r="B36" i="1"/>
  <c r="J35" i="1"/>
  <c r="I35" i="1"/>
  <c r="H35" i="1"/>
  <c r="G35" i="1"/>
  <c r="F35" i="1"/>
  <c r="E35" i="1"/>
  <c r="D35" i="1"/>
  <c r="C35" i="1"/>
  <c r="B35" i="1"/>
  <c r="J34" i="1"/>
  <c r="I34" i="1"/>
  <c r="H34" i="1"/>
  <c r="G34" i="1"/>
  <c r="F34" i="1"/>
  <c r="E34" i="1"/>
  <c r="D34" i="1"/>
  <c r="C34" i="1"/>
  <c r="B34" i="1"/>
  <c r="J33" i="1"/>
  <c r="I33" i="1"/>
  <c r="H33" i="1"/>
  <c r="G33" i="1"/>
  <c r="F33" i="1"/>
  <c r="E33" i="1"/>
  <c r="D33" i="1"/>
  <c r="C33" i="1"/>
  <c r="B33" i="1"/>
  <c r="J32" i="1"/>
  <c r="I32" i="1"/>
  <c r="H32" i="1"/>
  <c r="G32" i="1"/>
  <c r="F32" i="1"/>
  <c r="E32" i="1"/>
  <c r="D32" i="1"/>
  <c r="C32" i="1"/>
  <c r="B32" i="1"/>
  <c r="J31" i="1"/>
  <c r="I31" i="1"/>
  <c r="H31" i="1"/>
  <c r="G31" i="1"/>
  <c r="F31" i="1"/>
  <c r="E31" i="1"/>
  <c r="D31" i="1"/>
  <c r="C31" i="1"/>
  <c r="B31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B44" i="1"/>
  <c r="B43" i="1"/>
  <c r="E44" i="1"/>
  <c r="E43" i="1"/>
  <c r="H44" i="1"/>
  <c r="H43" i="1"/>
  <c r="H13" i="1"/>
  <c r="F14" i="1"/>
  <c r="J45" i="1"/>
  <c r="I45" i="1"/>
  <c r="D45" i="1"/>
  <c r="C45" i="1"/>
  <c r="J44" i="1"/>
  <c r="I44" i="1"/>
  <c r="J43" i="1"/>
  <c r="I43" i="1"/>
  <c r="G44" i="1"/>
  <c r="F44" i="1"/>
  <c r="G43" i="1"/>
  <c r="F43" i="1"/>
  <c r="D44" i="1"/>
  <c r="C44" i="1"/>
  <c r="D43" i="1"/>
  <c r="C43" i="1"/>
  <c r="G14" i="1"/>
  <c r="C11" i="1"/>
  <c r="C10" i="1"/>
  <c r="J10" i="1"/>
  <c r="I10" i="1"/>
  <c r="E8" i="1"/>
  <c r="B8" i="1"/>
  <c r="J5" i="1"/>
  <c r="H5" i="1"/>
  <c r="G5" i="1"/>
  <c r="E5" i="1"/>
  <c r="B5" i="1"/>
  <c r="I1" i="1"/>
  <c r="C14" i="1"/>
  <c r="G10" i="1"/>
  <c r="A1" i="1"/>
  <c r="I2" i="1"/>
</calcChain>
</file>

<file path=xl/sharedStrings.xml><?xml version="1.0" encoding="utf-8"?>
<sst xmlns="http://schemas.openxmlformats.org/spreadsheetml/2006/main" count="91" uniqueCount="38">
  <si>
    <t>氏名</t>
    <rPh sb="0" eb="2">
      <t>シメイ</t>
    </rPh>
    <phoneticPr fontId="2"/>
  </si>
  <si>
    <t>生年月</t>
    <rPh sb="0" eb="2">
      <t>セイネン</t>
    </rPh>
    <rPh sb="2" eb="3">
      <t>ゲツ</t>
    </rPh>
    <phoneticPr fontId="2"/>
  </si>
  <si>
    <t>年齢</t>
    <rPh sb="0" eb="2">
      <t>ネンレイ</t>
    </rPh>
    <phoneticPr fontId="2"/>
  </si>
  <si>
    <t>入社日</t>
    <rPh sb="0" eb="2">
      <t>ニュウシャ</t>
    </rPh>
    <rPh sb="2" eb="3">
      <t>ビ</t>
    </rPh>
    <phoneticPr fontId="2"/>
  </si>
  <si>
    <t>学歴</t>
    <rPh sb="0" eb="2">
      <t>ガクレキ</t>
    </rPh>
    <phoneticPr fontId="2"/>
  </si>
  <si>
    <t>基本給</t>
    <rPh sb="0" eb="3">
      <t>キホンキュウ</t>
    </rPh>
    <phoneticPr fontId="2"/>
  </si>
  <si>
    <t>中途職歴</t>
    <rPh sb="0" eb="2">
      <t>チュウト</t>
    </rPh>
    <rPh sb="2" eb="4">
      <t>ショクレキ</t>
    </rPh>
    <phoneticPr fontId="2"/>
  </si>
  <si>
    <t>合計Cpt</t>
    <rPh sb="0" eb="2">
      <t>ゴウケイ</t>
    </rPh>
    <phoneticPr fontId="2"/>
  </si>
  <si>
    <t>スコア</t>
    <phoneticPr fontId="2"/>
  </si>
  <si>
    <t>IT</t>
    <phoneticPr fontId="2"/>
  </si>
  <si>
    <t>年</t>
    <rPh sb="0" eb="1">
      <t>ネン</t>
    </rPh>
    <phoneticPr fontId="2"/>
  </si>
  <si>
    <t>IT以外</t>
    <rPh sb="2" eb="4">
      <t>イガイ</t>
    </rPh>
    <phoneticPr fontId="2"/>
  </si>
  <si>
    <t>現在</t>
    <rPh sb="0" eb="2">
      <t>ゲンザイ</t>
    </rPh>
    <phoneticPr fontId="2"/>
  </si>
  <si>
    <t>取得タイトル</t>
    <rPh sb="0" eb="2">
      <t>シュトク</t>
    </rPh>
    <phoneticPr fontId="2"/>
  </si>
  <si>
    <t>個人成績評価表</t>
    <rPh sb="0" eb="2">
      <t>コジン</t>
    </rPh>
    <rPh sb="2" eb="4">
      <t>セイセキ</t>
    </rPh>
    <rPh sb="4" eb="6">
      <t>ヒョウカ</t>
    </rPh>
    <rPh sb="6" eb="7">
      <t>ヒョウ</t>
    </rPh>
    <phoneticPr fontId="2"/>
  </si>
  <si>
    <t>社員番号:</t>
    <rPh sb="0" eb="4">
      <t>シャインバンゴウ</t>
    </rPh>
    <phoneticPr fontId="2"/>
  </si>
  <si>
    <t>日付　　:</t>
    <rPh sb="0" eb="2">
      <t>ヒヅケ</t>
    </rPh>
    <phoneticPr fontId="2"/>
  </si>
  <si>
    <t>pt</t>
    <phoneticPr fontId="2"/>
  </si>
  <si>
    <t>Expt</t>
    <phoneticPr fontId="2"/>
  </si>
  <si>
    <t>合計pt</t>
    <rPh sb="0" eb="2">
      <t>ゴウケイ</t>
    </rPh>
    <phoneticPr fontId="2"/>
  </si>
  <si>
    <t>前々年度</t>
    <rPh sb="0" eb="4">
      <t>マエマエネンド</t>
    </rPh>
    <phoneticPr fontId="2"/>
  </si>
  <si>
    <t>前年度</t>
    <rPh sb="0" eb="3">
      <t>マエネンド</t>
    </rPh>
    <phoneticPr fontId="2"/>
  </si>
  <si>
    <t>今年度</t>
    <rPh sb="0" eb="3">
      <t>コンネンド</t>
    </rPh>
    <phoneticPr fontId="2"/>
  </si>
  <si>
    <t>過去三年以前合計</t>
    <rPh sb="0" eb="2">
      <t>カコ</t>
    </rPh>
    <rPh sb="2" eb="4">
      <t>サンネン</t>
    </rPh>
    <rPh sb="4" eb="6">
      <t>イゼン</t>
    </rPh>
    <rPh sb="6" eb="8">
      <t>ゴウケイ</t>
    </rPh>
    <phoneticPr fontId="2"/>
  </si>
  <si>
    <t>総合計</t>
    <rPh sb="0" eb="3">
      <t>ソウゴウケイ</t>
    </rPh>
    <phoneticPr fontId="2"/>
  </si>
  <si>
    <t>ID</t>
    <phoneticPr fontId="2"/>
  </si>
  <si>
    <t>入社時</t>
    <phoneticPr fontId="2"/>
  </si>
  <si>
    <t>勤続年数</t>
    <rPh sb="0" eb="2">
      <t>キンゾク</t>
    </rPh>
    <rPh sb="2" eb="4">
      <t>ネンスウ</t>
    </rPh>
    <phoneticPr fontId="2"/>
  </si>
  <si>
    <t>-</t>
  </si>
  <si>
    <t>0年目</t>
  </si>
  <si>
    <t>10代</t>
  </si>
  <si>
    <t>2023-09</t>
  </si>
  <si>
    <t>松家 もえ</t>
  </si>
  <si>
    <t>専門卒(3年)</t>
  </si>
  <si>
    <t>20代</t>
  </si>
  <si>
    <t>加藤 千瑞</t>
  </si>
  <si>
    <t>大卒(文系)</t>
  </si>
  <si>
    <t>TQ004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</si>
</sst>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800]dddd\,\ mmmm\ dd\,\ yyyy"/>
    <numFmt numFmtId="177" formatCode="yyyy/m/d;@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6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13" xfId="0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 wrapText="1"/>
    </xf>
    <xf numFmtId="0" fontId="0" fillId="4" borderId="0" xfId="0" applyFill="1">
      <alignment vertical="center"/>
    </xf>
    <xf numFmtId="0" fontId="1" fillId="4" borderId="0" xfId="0" applyFont="1" applyFill="1" applyAlignment="1">
      <alignment horizontal="center" vertical="center"/>
    </xf>
    <xf numFmtId="0" fontId="0" fillId="2" borderId="2" xfId="0" applyFill="1" applyBorder="1">
      <alignment vertical="center"/>
    </xf>
    <xf numFmtId="176" fontId="0" fillId="0" borderId="2" xfId="0" applyNumberFormat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right" vertical="center"/>
    </xf>
    <xf numFmtId="0" fontId="0" fillId="5" borderId="5" xfId="0" applyFill="1" applyBorder="1" applyAlignment="1">
      <alignment horizontal="left" vertical="center"/>
    </xf>
    <xf numFmtId="177" fontId="0" fillId="0" borderId="1" xfId="0" applyNumberFormat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9</xdr:row>
      <xdr:rowOff>88900</xdr:rowOff>
    </xdr:from>
    <xdr:to>
      <xdr:col>4</xdr:col>
      <xdr:colOff>520700</xdr:colOff>
      <xdr:row>10</xdr:row>
      <xdr:rowOff>133350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19325" y="2584450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241300</xdr:colOff>
      <xdr:row>11</xdr:row>
      <xdr:rowOff>38100</xdr:rowOff>
    </xdr:from>
    <xdr:to>
      <xdr:col>2</xdr:col>
      <xdr:colOff>615950</xdr:colOff>
      <xdr:row>11</xdr:row>
      <xdr:rowOff>222250</xdr:rowOff>
    </xdr:to>
    <xdr:sp macro="" textlink="">
      <xdr:nvSpPr>
        <xdr:cNvPr id="3" name="矢印: 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5675" y="3009900"/>
          <a:ext cx="374650" cy="184150"/>
        </a:xfrm>
        <a:prstGeom prst="downArrow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171450</xdr:colOff>
      <xdr:row>13</xdr:row>
      <xdr:rowOff>57150</xdr:rowOff>
    </xdr:from>
    <xdr:to>
      <xdr:col>4</xdr:col>
      <xdr:colOff>558800</xdr:colOff>
      <xdr:row>15</xdr:row>
      <xdr:rowOff>34925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57425" y="3419475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3</xdr:row>
          <xdr:rowOff>57150</xdr:rowOff>
        </xdr:from>
        <xdr:to>
          <xdr:col>15</xdr:col>
          <xdr:colOff>247650</xdr:colOff>
          <xdr:row>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個人成績評価表出力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8</xdr:row>
          <xdr:rowOff>47625</xdr:rowOff>
        </xdr:from>
        <xdr:to>
          <xdr:col>15</xdr:col>
          <xdr:colOff>247650</xdr:colOff>
          <xdr:row>13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14</xdr:row>
          <xdr:rowOff>95250</xdr:rowOff>
        </xdr:from>
        <xdr:to>
          <xdr:col>15</xdr:col>
          <xdr:colOff>266700</xdr:colOff>
          <xdr:row>19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CSV取り込み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695AD-4A79-4DF3-825B-CC6A807ED077}">
  <sheetPr codeName="Sheet1">
    <pageSetUpPr fitToPage="1"/>
  </sheetPr>
  <dimension ref="A1:L45"/>
  <sheetViews>
    <sheetView tabSelected="1" view="pageBreakPreview" zoomScale="115" zoomScaleNormal="100" zoomScaleSheetLayoutView="115" workbookViewId="0">
      <selection activeCell="L3" sqref="L3"/>
    </sheetView>
  </sheetViews>
  <sheetFormatPr defaultRowHeight="18.75" x14ac:dyDescent="0.4"/>
  <cols>
    <col min="1" max="1" width="0.375" customWidth="1"/>
    <col min="2" max="2" width="13.5" bestFit="1" customWidth="1"/>
    <col min="5" max="5" width="13.5" bestFit="1" customWidth="1"/>
    <col min="8" max="8" width="13.5" bestFit="1" customWidth="1"/>
    <col min="11" max="11" width="0.875" customWidth="1"/>
  </cols>
  <sheetData>
    <row r="1" spans="1:12" x14ac:dyDescent="0.4">
      <c r="A1">
        <f>$A$2</f>
        <v>0</v>
      </c>
      <c r="B1" s="36" t="s">
        <v>14</v>
      </c>
      <c r="C1" s="36"/>
      <c r="D1" s="36"/>
      <c r="E1" s="36"/>
      <c r="F1" s="36"/>
      <c r="G1" s="36"/>
      <c r="H1" s="1" t="s">
        <v>15</v>
      </c>
      <c r="I1" s="37" t="str">
        <f>""&amp;CSV!A3</f>
        <v/>
      </c>
      <c r="J1" s="37"/>
    </row>
    <row r="2" spans="1:12" x14ac:dyDescent="0.4">
      <c r="B2" s="36"/>
      <c r="C2" s="36"/>
      <c r="D2" s="36"/>
      <c r="E2" s="36"/>
      <c r="F2" s="36"/>
      <c r="G2" s="36"/>
      <c r="H2" s="15" t="s">
        <v>16</v>
      </c>
      <c r="I2" s="25">
        <f ca="1">TODAY()</f>
        <v>45188</v>
      </c>
      <c r="J2" s="25"/>
      <c r="L2" s="4"/>
    </row>
    <row r="3" spans="1:12" x14ac:dyDescent="0.4">
      <c r="A3">
        <v>31</v>
      </c>
      <c r="L3" s="4"/>
    </row>
    <row r="4" spans="1:12" ht="21" customHeight="1" x14ac:dyDescent="0.4">
      <c r="B4" s="26" t="s">
        <v>0</v>
      </c>
      <c r="C4" s="26"/>
      <c r="D4" s="26"/>
      <c r="E4" s="26" t="s">
        <v>1</v>
      </c>
      <c r="F4" s="26"/>
      <c r="G4" s="2" t="s">
        <v>2</v>
      </c>
      <c r="H4" s="26" t="s">
        <v>3</v>
      </c>
      <c r="I4" s="26"/>
      <c r="J4" s="16" t="s">
        <v>27</v>
      </c>
    </row>
    <row r="5" spans="1:12" ht="26.1" customHeight="1" x14ac:dyDescent="0.4">
      <c r="B5" s="52" t="str">
        <f>""&amp;CSV!B3</f>
        <v/>
      </c>
      <c r="C5" s="52"/>
      <c r="D5" s="52"/>
      <c r="E5" s="28">
        <f>CSV!C3</f>
        <v>0</v>
      </c>
      <c r="F5" s="28"/>
      <c r="G5" s="3" t="str">
        <f>""&amp;CSV!D3</f>
        <v/>
      </c>
      <c r="H5" s="29">
        <f>CSV!E3</f>
        <v>0</v>
      </c>
      <c r="I5" s="30"/>
      <c r="J5" s="13" t="str">
        <f>""&amp;CSV!F3</f>
        <v/>
      </c>
    </row>
    <row r="7" spans="1:12" x14ac:dyDescent="0.4">
      <c r="B7" s="26" t="s">
        <v>4</v>
      </c>
      <c r="C7" s="26"/>
      <c r="D7" s="26"/>
      <c r="E7" s="26" t="s">
        <v>5</v>
      </c>
      <c r="F7" s="26"/>
      <c r="G7" s="26"/>
      <c r="H7" s="17"/>
      <c r="I7" s="17"/>
      <c r="J7" s="17"/>
    </row>
    <row r="8" spans="1:12" x14ac:dyDescent="0.4">
      <c r="B8" s="38" t="str">
        <f>""&amp;CSV!G3</f>
        <v/>
      </c>
      <c r="C8" s="39"/>
      <c r="D8" s="40"/>
      <c r="E8" s="41" t="str">
        <f>""&amp;CSV!H3</f>
        <v/>
      </c>
      <c r="F8" s="41"/>
      <c r="G8" s="41"/>
      <c r="H8" s="17"/>
      <c r="I8" s="17"/>
      <c r="J8" s="17"/>
    </row>
    <row r="9" spans="1:12" x14ac:dyDescent="0.4">
      <c r="B9" s="48" t="s">
        <v>6</v>
      </c>
      <c r="C9" s="49"/>
      <c r="D9" s="50"/>
      <c r="E9" s="5"/>
      <c r="F9" s="47" t="s">
        <v>19</v>
      </c>
      <c r="G9" s="51"/>
      <c r="H9" s="26" t="s">
        <v>8</v>
      </c>
      <c r="I9" s="2" t="s">
        <v>17</v>
      </c>
      <c r="J9" s="2" t="s">
        <v>18</v>
      </c>
    </row>
    <row r="10" spans="1:12" x14ac:dyDescent="0.4">
      <c r="B10" s="6" t="s">
        <v>9</v>
      </c>
      <c r="C10" s="7" t="str">
        <f>""&amp;CSV!K3</f>
        <v/>
      </c>
      <c r="D10" s="8" t="s">
        <v>10</v>
      </c>
      <c r="E10" s="31"/>
      <c r="F10" s="32" t="s">
        <v>9</v>
      </c>
      <c r="G10" s="34" t="str">
        <f>IFERROR(C10*4,"")</f>
        <v/>
      </c>
      <c r="H10" s="26"/>
      <c r="I10" s="27" t="str">
        <f>""&amp;CSV!I3</f>
        <v/>
      </c>
      <c r="J10" s="27" t="str">
        <f>""&amp;CSV!J3</f>
        <v/>
      </c>
    </row>
    <row r="11" spans="1:12" x14ac:dyDescent="0.4">
      <c r="B11" s="9" t="s">
        <v>11</v>
      </c>
      <c r="C11" s="10" t="str">
        <f>""&amp;CSV!L3</f>
        <v/>
      </c>
      <c r="D11" s="11" t="s">
        <v>10</v>
      </c>
      <c r="E11" s="31"/>
      <c r="F11" s="33"/>
      <c r="G11" s="35"/>
      <c r="H11" s="26"/>
      <c r="I11" s="27"/>
      <c r="J11" s="27"/>
    </row>
    <row r="12" spans="1:12" x14ac:dyDescent="0.4">
      <c r="B12" s="12"/>
      <c r="C12" s="12"/>
      <c r="D12" s="12"/>
      <c r="E12" s="12"/>
      <c r="F12" s="12"/>
      <c r="G12" s="12"/>
      <c r="H12" s="12"/>
      <c r="I12" s="12"/>
      <c r="J12" s="12"/>
    </row>
    <row r="13" spans="1:12" ht="12.6" customHeight="1" x14ac:dyDescent="0.4">
      <c r="B13" s="45" t="s">
        <v>11</v>
      </c>
      <c r="C13" s="26" t="s">
        <v>7</v>
      </c>
      <c r="D13" s="26"/>
      <c r="E13" s="5"/>
      <c r="F13" s="22" t="s">
        <v>12</v>
      </c>
      <c r="G13" s="23" t="s">
        <v>26</v>
      </c>
      <c r="H13" s="24" t="str">
        <f>""&amp;CSV!AE3</f>
        <v/>
      </c>
      <c r="I13" s="5"/>
      <c r="J13" s="5"/>
    </row>
    <row r="14" spans="1:12" ht="12.6" customHeight="1" x14ac:dyDescent="0.4">
      <c r="B14" s="46"/>
      <c r="C14" s="27" t="str">
        <f>IFERROR(C11*2,"")</f>
        <v/>
      </c>
      <c r="D14" s="27"/>
      <c r="E14" s="5"/>
      <c r="F14" s="44" t="str">
        <f>""&amp;CSV!AD3</f>
        <v/>
      </c>
      <c r="G14" s="42" t="str">
        <f>""&amp;CSV!M3</f>
        <v/>
      </c>
      <c r="H14" s="42"/>
      <c r="I14" s="5"/>
      <c r="J14" s="5"/>
    </row>
    <row r="15" spans="1:12" ht="12.6" customHeight="1" x14ac:dyDescent="0.4">
      <c r="B15" s="46"/>
      <c r="C15" s="27"/>
      <c r="D15" s="27"/>
      <c r="E15" s="5"/>
      <c r="F15" s="44"/>
      <c r="G15" s="43"/>
      <c r="H15" s="43"/>
      <c r="I15" s="5"/>
      <c r="J15" s="5"/>
    </row>
    <row r="16" spans="1:12" ht="12.6" customHeight="1" x14ac:dyDescent="0.4">
      <c r="B16" s="47"/>
      <c r="C16" s="27"/>
      <c r="D16" s="27"/>
      <c r="E16" s="5"/>
      <c r="F16" s="44"/>
      <c r="G16" s="43"/>
      <c r="H16" s="43"/>
      <c r="I16" s="5"/>
      <c r="J16" s="5"/>
    </row>
    <row r="17" spans="2:10" x14ac:dyDescent="0.4">
      <c r="B17" s="4"/>
      <c r="E17" s="17"/>
      <c r="F17" s="17"/>
      <c r="G17" s="17"/>
      <c r="H17" s="5"/>
      <c r="I17" s="5"/>
      <c r="J17" s="18"/>
    </row>
    <row r="18" spans="2:10" x14ac:dyDescent="0.4">
      <c r="B18" s="26" t="s">
        <v>13</v>
      </c>
      <c r="C18" s="26"/>
      <c r="D18" s="26"/>
      <c r="E18" s="26"/>
      <c r="F18" s="26"/>
      <c r="G18" s="26"/>
      <c r="H18" s="26"/>
      <c r="I18" s="26"/>
      <c r="J18" s="26"/>
    </row>
    <row r="19" spans="2:10" x14ac:dyDescent="0.4">
      <c r="B19" s="19" t="s">
        <v>25</v>
      </c>
      <c r="C19" s="2" t="s">
        <v>17</v>
      </c>
      <c r="D19" s="2" t="s">
        <v>18</v>
      </c>
      <c r="E19" s="19" t="s">
        <v>25</v>
      </c>
      <c r="F19" s="2" t="s">
        <v>17</v>
      </c>
      <c r="G19" s="2" t="s">
        <v>18</v>
      </c>
      <c r="H19" s="19" t="s">
        <v>25</v>
      </c>
      <c r="I19" s="2" t="s">
        <v>17</v>
      </c>
      <c r="J19" s="2" t="s">
        <v>18</v>
      </c>
    </row>
    <row r="20" spans="2:10" x14ac:dyDescent="0.4">
      <c r="B20" s="13" t="str">
        <f>""&amp;CSV!AL3</f>
        <v/>
      </c>
      <c r="C20" s="13" t="str">
        <f>""&amp;CSV!AM3</f>
        <v/>
      </c>
      <c r="D20" s="13" t="str">
        <f>""&amp;CSV!AN3</f>
        <v/>
      </c>
      <c r="E20" s="13" t="str">
        <f>""&amp;CSV!AO3</f>
        <v/>
      </c>
      <c r="F20" s="13" t="str">
        <f>""&amp;CSV!AP3</f>
        <v/>
      </c>
      <c r="G20" s="13" t="str">
        <f>""&amp;CSV!AQ3</f>
        <v/>
      </c>
      <c r="H20" s="13" t="str">
        <f>""&amp;CSV!AR3</f>
        <v/>
      </c>
      <c r="I20" s="13" t="str">
        <f>""&amp;CSV!AS3</f>
        <v/>
      </c>
      <c r="J20" s="13" t="str">
        <f>""&amp;CSV!AT3</f>
        <v/>
      </c>
    </row>
    <row r="21" spans="2:10" x14ac:dyDescent="0.4">
      <c r="B21" s="13" t="str">
        <f>""&amp;CSV!AU3</f>
        <v/>
      </c>
      <c r="C21" s="13" t="str">
        <f>""&amp;CSV!AV3</f>
        <v/>
      </c>
      <c r="D21" s="13" t="str">
        <f>""&amp;CSV!AW3</f>
        <v/>
      </c>
      <c r="E21" s="13" t="str">
        <f>""&amp;CSV!AX3</f>
        <v/>
      </c>
      <c r="F21" s="13" t="str">
        <f>""&amp;CSV!AY3</f>
        <v/>
      </c>
      <c r="G21" s="13" t="str">
        <f>""&amp;CSV!AZ3</f>
        <v/>
      </c>
      <c r="H21" s="13" t="str">
        <f>""&amp;CSV!BA3</f>
        <v/>
      </c>
      <c r="I21" s="13" t="str">
        <f>""&amp;CSV!BB3</f>
        <v/>
      </c>
      <c r="J21" s="13" t="str">
        <f>""&amp;CSV!BC3</f>
        <v/>
      </c>
    </row>
    <row r="22" spans="2:10" x14ac:dyDescent="0.4">
      <c r="B22" s="13" t="str">
        <f>""&amp;CSV!BD3</f>
        <v/>
      </c>
      <c r="C22" s="13" t="str">
        <f>""&amp;CSV!BE3</f>
        <v/>
      </c>
      <c r="D22" s="13" t="str">
        <f>""&amp;CSV!BF3</f>
        <v/>
      </c>
      <c r="E22" s="13" t="str">
        <f>""&amp;CSV!BG3</f>
        <v/>
      </c>
      <c r="F22" s="13" t="str">
        <f>""&amp;CSV!BH3</f>
        <v/>
      </c>
      <c r="G22" s="13" t="str">
        <f>""&amp;CSV!BI3</f>
        <v/>
      </c>
      <c r="H22" s="13" t="str">
        <f>""&amp;CSV!BJ3</f>
        <v/>
      </c>
      <c r="I22" s="13" t="str">
        <f>""&amp;CSV!BK3</f>
        <v/>
      </c>
      <c r="J22" s="13" t="str">
        <f>""&amp;CSV!BL3</f>
        <v/>
      </c>
    </row>
    <row r="23" spans="2:10" x14ac:dyDescent="0.4">
      <c r="B23" s="13" t="str">
        <f>""&amp;CSV!BM3</f>
        <v/>
      </c>
      <c r="C23" s="13" t="str">
        <f>""&amp;CSV!BN3</f>
        <v/>
      </c>
      <c r="D23" s="13" t="str">
        <f>""&amp;CSV!BO3</f>
        <v/>
      </c>
      <c r="E23" s="13" t="str">
        <f>""&amp;CSV!BP3</f>
        <v/>
      </c>
      <c r="F23" s="13" t="str">
        <f>""&amp;CSV!BQ3</f>
        <v/>
      </c>
      <c r="G23" s="13" t="str">
        <f>""&amp;CSV!BR3</f>
        <v/>
      </c>
      <c r="H23" s="13" t="str">
        <f>""&amp;CSV!BS3</f>
        <v/>
      </c>
      <c r="I23" s="13" t="str">
        <f>""&amp;CSV!BT3</f>
        <v/>
      </c>
      <c r="J23" s="13" t="str">
        <f>""&amp;CSV!BU3</f>
        <v/>
      </c>
    </row>
    <row r="24" spans="2:10" x14ac:dyDescent="0.4">
      <c r="B24" s="13" t="str">
        <f>""&amp;CSV!BV3</f>
        <v/>
      </c>
      <c r="C24" s="13" t="str">
        <f>""&amp;CSV!BW3</f>
        <v/>
      </c>
      <c r="D24" s="13" t="str">
        <f>""&amp;CSV!BX3</f>
        <v/>
      </c>
      <c r="E24" s="13" t="str">
        <f>""&amp;CSV!BY3</f>
        <v/>
      </c>
      <c r="F24" s="13" t="str">
        <f>""&amp;CSV!BZ3</f>
        <v/>
      </c>
      <c r="G24" s="13" t="str">
        <f>""&amp;CSV!CA3</f>
        <v/>
      </c>
      <c r="H24" s="13" t="str">
        <f>""&amp;CSV!CB3</f>
        <v/>
      </c>
      <c r="I24" s="13" t="str">
        <f>""&amp;CSV!CC3</f>
        <v/>
      </c>
      <c r="J24" s="13" t="str">
        <f>""&amp;CSV!CD3</f>
        <v/>
      </c>
    </row>
    <row r="25" spans="2:10" x14ac:dyDescent="0.4">
      <c r="B25" s="13" t="str">
        <f>""&amp;CSV!CE3</f>
        <v/>
      </c>
      <c r="C25" s="13" t="str">
        <f>""&amp;CSV!CF3</f>
        <v/>
      </c>
      <c r="D25" s="13" t="str">
        <f>""&amp;CSV!CG3</f>
        <v/>
      </c>
      <c r="E25" s="13" t="str">
        <f>""&amp;CSV!CH3</f>
        <v/>
      </c>
      <c r="F25" s="13" t="str">
        <f>""&amp;CSV!CI3</f>
        <v/>
      </c>
      <c r="G25" s="13" t="str">
        <f>""&amp;CSV!CJ3</f>
        <v/>
      </c>
      <c r="H25" s="13" t="str">
        <f>""&amp;CSV!CK3</f>
        <v/>
      </c>
      <c r="I25" s="13" t="str">
        <f>""&amp;CSV!CL3</f>
        <v/>
      </c>
      <c r="J25" s="13" t="str">
        <f>""&amp;CSV!CM3</f>
        <v/>
      </c>
    </row>
    <row r="26" spans="2:10" x14ac:dyDescent="0.4">
      <c r="B26" s="13" t="str">
        <f>""&amp;CSV!CN3</f>
        <v/>
      </c>
      <c r="C26" s="13" t="str">
        <f>""&amp;CSV!CO3</f>
        <v/>
      </c>
      <c r="D26" s="13" t="str">
        <f>""&amp;CSV!CP3</f>
        <v/>
      </c>
      <c r="E26" s="13" t="str">
        <f>""&amp;CSV!CQ3</f>
        <v/>
      </c>
      <c r="F26" s="13" t="str">
        <f>""&amp;CSV!CR3</f>
        <v/>
      </c>
      <c r="G26" s="13" t="str">
        <f>""&amp;CSV!CS3</f>
        <v/>
      </c>
      <c r="H26" s="13" t="str">
        <f>""&amp;CSV!CT3</f>
        <v/>
      </c>
      <c r="I26" s="13" t="str">
        <f>""&amp;CSV!CU3</f>
        <v/>
      </c>
      <c r="J26" s="13" t="str">
        <f>""&amp;CSV!CV3</f>
        <v/>
      </c>
    </row>
    <row r="27" spans="2:10" x14ac:dyDescent="0.4">
      <c r="B27" s="13" t="str">
        <f>""&amp;CSV!CW3</f>
        <v/>
      </c>
      <c r="C27" s="13" t="str">
        <f>""&amp;CSV!CX3</f>
        <v/>
      </c>
      <c r="D27" s="13" t="str">
        <f>""&amp;CSV!CY3</f>
        <v/>
      </c>
      <c r="E27" s="13" t="str">
        <f>""&amp;CSV!CZ3</f>
        <v/>
      </c>
      <c r="F27" s="13" t="str">
        <f>""&amp;CSV!DA3</f>
        <v/>
      </c>
      <c r="G27" s="13" t="str">
        <f>""&amp;CSV!DB3</f>
        <v/>
      </c>
      <c r="H27" s="13" t="str">
        <f>""&amp;CSV!DC3</f>
        <v/>
      </c>
      <c r="I27" s="13" t="str">
        <f>""&amp;CSV!DD3</f>
        <v/>
      </c>
      <c r="J27" s="13" t="str">
        <f>""&amp;CSV!DE3</f>
        <v/>
      </c>
    </row>
    <row r="28" spans="2:10" x14ac:dyDescent="0.4">
      <c r="B28" s="13" t="str">
        <f>""&amp;CSV!DF3</f>
        <v/>
      </c>
      <c r="C28" s="13" t="str">
        <f>""&amp;CSV!DG3</f>
        <v/>
      </c>
      <c r="D28" s="13" t="str">
        <f>""&amp;CSV!DH3</f>
        <v/>
      </c>
      <c r="E28" s="13" t="str">
        <f>""&amp;CSV!DI3</f>
        <v/>
      </c>
      <c r="F28" s="13" t="str">
        <f>""&amp;CSV!DJ3</f>
        <v/>
      </c>
      <c r="G28" s="13" t="str">
        <f>""&amp;CSV!DK3</f>
        <v/>
      </c>
      <c r="H28" s="13" t="str">
        <f>""&amp;CSV!DL3</f>
        <v/>
      </c>
      <c r="I28" s="13" t="str">
        <f>""&amp;CSV!DM3</f>
        <v/>
      </c>
      <c r="J28" s="13" t="str">
        <f>""&amp;CSV!DN3</f>
        <v/>
      </c>
    </row>
    <row r="29" spans="2:10" x14ac:dyDescent="0.4">
      <c r="B29" s="13" t="str">
        <f>""&amp;CSV!DO3</f>
        <v/>
      </c>
      <c r="C29" s="13" t="str">
        <f>""&amp;CSV!DP3</f>
        <v/>
      </c>
      <c r="D29" s="13" t="str">
        <f>""&amp;CSV!DQ3</f>
        <v/>
      </c>
      <c r="E29" s="13" t="str">
        <f>""&amp;CSV!DR3</f>
        <v/>
      </c>
      <c r="F29" s="13" t="str">
        <f>""&amp;CSV!DS3</f>
        <v/>
      </c>
      <c r="G29" s="13" t="str">
        <f>""&amp;CSV!DT3</f>
        <v/>
      </c>
      <c r="H29" s="13" t="str">
        <f>""&amp;CSV!DU3</f>
        <v/>
      </c>
      <c r="I29" s="13" t="str">
        <f>""&amp;CSV!DV3</f>
        <v/>
      </c>
      <c r="J29" s="13" t="str">
        <f>""&amp;CSV!DW3</f>
        <v/>
      </c>
    </row>
    <row r="30" spans="2:10" x14ac:dyDescent="0.4">
      <c r="B30" s="13" t="str">
        <f>""&amp;CSV!DX3</f>
        <v/>
      </c>
      <c r="C30" s="13" t="str">
        <f>""&amp;CSV!DY3</f>
        <v/>
      </c>
      <c r="D30" s="13" t="str">
        <f>""&amp;CSV!DZ3</f>
        <v/>
      </c>
      <c r="E30" s="13" t="str">
        <f>""&amp;CSV!EA3</f>
        <v/>
      </c>
      <c r="F30" s="13" t="str">
        <f>""&amp;CSV!EB3</f>
        <v/>
      </c>
      <c r="G30" s="13" t="str">
        <f>""&amp;CSV!EC3</f>
        <v/>
      </c>
      <c r="H30" s="13" t="str">
        <f>""&amp;CSV!ED3</f>
        <v/>
      </c>
      <c r="I30" s="13" t="str">
        <f>""&amp;CSV!EE3</f>
        <v/>
      </c>
      <c r="J30" s="13" t="str">
        <f>""&amp;CSV!EF3</f>
        <v/>
      </c>
    </row>
    <row r="31" spans="2:10" x14ac:dyDescent="0.4">
      <c r="B31" s="13" t="str">
        <f>""&amp;CSV!EG3</f>
        <v/>
      </c>
      <c r="C31" s="13" t="str">
        <f>""&amp;CSV!EH3</f>
        <v/>
      </c>
      <c r="D31" s="13" t="str">
        <f>""&amp;CSV!EI3</f>
        <v/>
      </c>
      <c r="E31" s="13" t="str">
        <f>""&amp;CSV!EJ3</f>
        <v/>
      </c>
      <c r="F31" s="13" t="str">
        <f>""&amp;CSV!EK3</f>
        <v/>
      </c>
      <c r="G31" s="13" t="str">
        <f>""&amp;CSV!EL3</f>
        <v/>
      </c>
      <c r="H31" s="13" t="str">
        <f>""&amp;CSV!EM3</f>
        <v/>
      </c>
      <c r="I31" s="13" t="str">
        <f>""&amp;CSV!EN3</f>
        <v/>
      </c>
      <c r="J31" s="13" t="str">
        <f>""&amp;CSV!EO3</f>
        <v/>
      </c>
    </row>
    <row r="32" spans="2:10" x14ac:dyDescent="0.4">
      <c r="B32" s="13" t="str">
        <f>""&amp;CSV!EP3</f>
        <v/>
      </c>
      <c r="C32" s="13" t="str">
        <f>""&amp;CSV!EQ3</f>
        <v/>
      </c>
      <c r="D32" s="13" t="str">
        <f>""&amp;CSV!ER3</f>
        <v/>
      </c>
      <c r="E32" s="13" t="str">
        <f>""&amp;CSV!ES3</f>
        <v/>
      </c>
      <c r="F32" s="13" t="str">
        <f>""&amp;CSV!ET3</f>
        <v/>
      </c>
      <c r="G32" s="13" t="str">
        <f>""&amp;CSV!EU3</f>
        <v/>
      </c>
      <c r="H32" s="13" t="str">
        <f>""&amp;CSV!EV3</f>
        <v/>
      </c>
      <c r="I32" s="13" t="str">
        <f>""&amp;CSV!EW3</f>
        <v/>
      </c>
      <c r="J32" s="13" t="str">
        <f>""&amp;CSV!EX3</f>
        <v/>
      </c>
    </row>
    <row r="33" spans="2:10" x14ac:dyDescent="0.4">
      <c r="B33" s="13" t="str">
        <f>""&amp;CSV!EY3</f>
        <v/>
      </c>
      <c r="C33" s="13" t="str">
        <f>""&amp;CSV!EZ3</f>
        <v/>
      </c>
      <c r="D33" s="13" t="str">
        <f>""&amp;CSV!FA3</f>
        <v/>
      </c>
      <c r="E33" s="13" t="str">
        <f>""&amp;CSV!FB3</f>
        <v/>
      </c>
      <c r="F33" s="13" t="str">
        <f>""&amp;CSV!FC3</f>
        <v/>
      </c>
      <c r="G33" s="13" t="str">
        <f>""&amp;CSV!FD3</f>
        <v/>
      </c>
      <c r="H33" s="13" t="str">
        <f>""&amp;CSV!FE3</f>
        <v/>
      </c>
      <c r="I33" s="13" t="str">
        <f>""&amp;CSV!FF3</f>
        <v/>
      </c>
      <c r="J33" s="13" t="str">
        <f>""&amp;CSV!FG3</f>
        <v/>
      </c>
    </row>
    <row r="34" spans="2:10" x14ac:dyDescent="0.4">
      <c r="B34" s="13" t="str">
        <f>""&amp;CSV!FH3</f>
        <v/>
      </c>
      <c r="C34" s="13" t="str">
        <f>""&amp;CSV!FI3</f>
        <v/>
      </c>
      <c r="D34" s="13" t="str">
        <f>""&amp;CSV!FJ3</f>
        <v/>
      </c>
      <c r="E34" s="13" t="str">
        <f>""&amp;CSV!FK3</f>
        <v/>
      </c>
      <c r="F34" s="13" t="str">
        <f>""&amp;CSV!FL3</f>
        <v/>
      </c>
      <c r="G34" s="13" t="str">
        <f>""&amp;CSV!FM3</f>
        <v/>
      </c>
      <c r="H34" s="13" t="str">
        <f>""&amp;CSV!FN3</f>
        <v/>
      </c>
      <c r="I34" s="13" t="str">
        <f>""&amp;CSV!FO3</f>
        <v/>
      </c>
      <c r="J34" s="13" t="str">
        <f>""&amp;CSV!FP3</f>
        <v/>
      </c>
    </row>
    <row r="35" spans="2:10" x14ac:dyDescent="0.4">
      <c r="B35" s="13" t="str">
        <f>""&amp;CSV!FQ3</f>
        <v/>
      </c>
      <c r="C35" s="13" t="str">
        <f>""&amp;CSV!FR3</f>
        <v/>
      </c>
      <c r="D35" s="13" t="str">
        <f>""&amp;CSV!FS3</f>
        <v/>
      </c>
      <c r="E35" s="13" t="str">
        <f>""&amp;CSV!FT3</f>
        <v/>
      </c>
      <c r="F35" s="13" t="str">
        <f>""&amp;CSV!FU3</f>
        <v/>
      </c>
      <c r="G35" s="13" t="str">
        <f>""&amp;CSV!FV3</f>
        <v/>
      </c>
      <c r="H35" s="13" t="str">
        <f>""&amp;CSV!FW3</f>
        <v/>
      </c>
      <c r="I35" s="13" t="str">
        <f>""&amp;CSV!FX3</f>
        <v/>
      </c>
      <c r="J35" s="13" t="str">
        <f>""&amp;CSV!FY3</f>
        <v/>
      </c>
    </row>
    <row r="36" spans="2:10" x14ac:dyDescent="0.4">
      <c r="B36" s="13" t="str">
        <f>""&amp;CSV!FZ3</f>
        <v/>
      </c>
      <c r="C36" s="13" t="str">
        <f>""&amp;CSV!GA3</f>
        <v/>
      </c>
      <c r="D36" s="13" t="str">
        <f>""&amp;CSV!GB3</f>
        <v/>
      </c>
      <c r="E36" s="13" t="str">
        <f>""&amp;CSV!GC3</f>
        <v/>
      </c>
      <c r="F36" s="13" t="str">
        <f>""&amp;CSV!GD3</f>
        <v/>
      </c>
      <c r="G36" s="13" t="str">
        <f>""&amp;CSV!GE3</f>
        <v/>
      </c>
      <c r="H36" s="13" t="str">
        <f>""&amp;CSV!GF3</f>
        <v/>
      </c>
      <c r="I36" s="13" t="str">
        <f>""&amp;CSV!GG3</f>
        <v/>
      </c>
      <c r="J36" s="13" t="str">
        <f>""&amp;CSV!GH3</f>
        <v/>
      </c>
    </row>
    <row r="37" spans="2:10" x14ac:dyDescent="0.4">
      <c r="B37" s="13" t="str">
        <f>""&amp;CSV!GI3</f>
        <v/>
      </c>
      <c r="C37" s="13" t="str">
        <f>""&amp;CSV!GJ3</f>
        <v/>
      </c>
      <c r="D37" s="13" t="str">
        <f>""&amp;CSV!GK3</f>
        <v/>
      </c>
      <c r="E37" s="13" t="str">
        <f>""&amp;CSV!GL3</f>
        <v/>
      </c>
      <c r="F37" s="13" t="str">
        <f>""&amp;CSV!GM3</f>
        <v/>
      </c>
      <c r="G37" s="13" t="str">
        <f>""&amp;CSV!GN3</f>
        <v/>
      </c>
      <c r="H37" s="13" t="str">
        <f>""&amp;CSV!GO3</f>
        <v/>
      </c>
      <c r="I37" s="13" t="str">
        <f>""&amp;CSV!GP3</f>
        <v/>
      </c>
      <c r="J37" s="13" t="str">
        <f>""&amp;CSV!GQ3</f>
        <v/>
      </c>
    </row>
    <row r="38" spans="2:10" x14ac:dyDescent="0.4">
      <c r="B38" s="13" t="str">
        <f>""&amp;CSV!GR3</f>
        <v/>
      </c>
      <c r="C38" s="13" t="str">
        <f>""&amp;CSV!GS3</f>
        <v/>
      </c>
      <c r="D38" s="13" t="str">
        <f>""&amp;CSV!GT3</f>
        <v/>
      </c>
      <c r="E38" s="13" t="str">
        <f>""&amp;CSV!GU3</f>
        <v/>
      </c>
      <c r="F38" s="13" t="str">
        <f>""&amp;CSV!GV3</f>
        <v/>
      </c>
      <c r="G38" s="13" t="str">
        <f>""&amp;CSV!GW3</f>
        <v/>
      </c>
      <c r="H38" s="13" t="str">
        <f>""&amp;CSV!GX3</f>
        <v/>
      </c>
      <c r="I38" s="13" t="str">
        <f>""&amp;CSV!GY3</f>
        <v/>
      </c>
      <c r="J38" s="13" t="str">
        <f>""&amp;CSV!GZ3</f>
        <v/>
      </c>
    </row>
    <row r="39" spans="2:10" x14ac:dyDescent="0.4">
      <c r="B39" s="13" t="str">
        <f>""&amp;CSV!HA3</f>
        <v/>
      </c>
      <c r="C39" s="13" t="str">
        <f>""&amp;CSV!HB3</f>
        <v/>
      </c>
      <c r="D39" s="13" t="str">
        <f>""&amp;CSV!HC3</f>
        <v/>
      </c>
      <c r="E39" s="13" t="str">
        <f>""&amp;CSV!HD3</f>
        <v/>
      </c>
      <c r="F39" s="13" t="str">
        <f>""&amp;CSV!HE3</f>
        <v/>
      </c>
      <c r="G39" s="13" t="str">
        <f>""&amp;CSV!HF3</f>
        <v/>
      </c>
      <c r="H39" s="13" t="str">
        <f>""&amp;CSV!HG3</f>
        <v/>
      </c>
      <c r="I39" s="13" t="str">
        <f>""&amp;CSV!HH3</f>
        <v/>
      </c>
      <c r="J39" s="13" t="str">
        <f>""&amp;CSV!HI3</f>
        <v/>
      </c>
    </row>
    <row r="40" spans="2:10" x14ac:dyDescent="0.4">
      <c r="B40" s="17"/>
      <c r="C40" s="17"/>
      <c r="D40" s="17"/>
      <c r="E40" s="17"/>
      <c r="F40" s="17"/>
      <c r="G40" s="17"/>
      <c r="H40" s="17"/>
      <c r="I40" s="17"/>
      <c r="J40" s="17"/>
    </row>
    <row r="41" spans="2:10" x14ac:dyDescent="0.4">
      <c r="B41" s="17"/>
      <c r="C41" s="17"/>
      <c r="D41" s="17"/>
      <c r="E41" s="17"/>
      <c r="F41" s="17"/>
      <c r="G41" s="17"/>
      <c r="H41" s="17"/>
      <c r="I41" s="17"/>
      <c r="J41" s="17"/>
    </row>
    <row r="42" spans="2:10" x14ac:dyDescent="0.4">
      <c r="B42" s="19" t="s">
        <v>20</v>
      </c>
      <c r="C42" s="19" t="s">
        <v>17</v>
      </c>
      <c r="D42" s="2" t="s">
        <v>18</v>
      </c>
      <c r="E42" s="19" t="s">
        <v>21</v>
      </c>
      <c r="F42" s="19" t="s">
        <v>17</v>
      </c>
      <c r="G42" s="2" t="s">
        <v>18</v>
      </c>
      <c r="H42" s="19" t="s">
        <v>22</v>
      </c>
      <c r="I42" s="19" t="s">
        <v>17</v>
      </c>
      <c r="J42" s="2" t="s">
        <v>18</v>
      </c>
    </row>
    <row r="43" spans="2:10" x14ac:dyDescent="0.4">
      <c r="B43" s="20" t="str">
        <f>""&amp;CSV!AJ3</f>
        <v/>
      </c>
      <c r="C43" s="13" t="str">
        <f>""&amp;CSV!N3</f>
        <v/>
      </c>
      <c r="D43" s="13" t="str">
        <f>""&amp;CSV!O3</f>
        <v/>
      </c>
      <c r="E43" s="20" t="str">
        <f>""&amp;CSV!AH3</f>
        <v/>
      </c>
      <c r="F43" s="13" t="str">
        <f>""&amp;CSV!R3</f>
        <v/>
      </c>
      <c r="G43" s="13" t="str">
        <f>""&amp;CSV!S3</f>
        <v/>
      </c>
      <c r="H43" s="20" t="str">
        <f>""&amp;CSV!AF3</f>
        <v/>
      </c>
      <c r="I43" s="13" t="str">
        <f>""&amp;CSV!V3</f>
        <v/>
      </c>
      <c r="J43" s="13" t="str">
        <f>""&amp;CSV!W3</f>
        <v/>
      </c>
    </row>
    <row r="44" spans="2:10" x14ac:dyDescent="0.4">
      <c r="B44" s="20" t="str">
        <f>""&amp;CSV!AK3</f>
        <v/>
      </c>
      <c r="C44" s="13" t="str">
        <f>""&amp;CSV!P3</f>
        <v/>
      </c>
      <c r="D44" s="13" t="str">
        <f>""&amp;CSV!Q3</f>
        <v/>
      </c>
      <c r="E44" s="20" t="str">
        <f>""&amp;CSV!AI3</f>
        <v/>
      </c>
      <c r="F44" s="13" t="str">
        <f>""&amp;CSV!T3</f>
        <v/>
      </c>
      <c r="G44" s="13" t="str">
        <f>""&amp;CSV!U3</f>
        <v/>
      </c>
      <c r="H44" s="20" t="str">
        <f>""&amp;CSV!AG3</f>
        <v/>
      </c>
      <c r="I44" s="13" t="str">
        <f>""&amp;CSV!X3</f>
        <v/>
      </c>
      <c r="J44" s="13" t="str">
        <f>""&amp;CSV!Y3</f>
        <v/>
      </c>
    </row>
    <row r="45" spans="2:10" x14ac:dyDescent="0.4">
      <c r="B45" s="21" t="s">
        <v>23</v>
      </c>
      <c r="C45" s="13" t="str">
        <f>""&amp;CSV!Z3</f>
        <v/>
      </c>
      <c r="D45" s="13" t="str">
        <f>""&amp;CSV!AA3</f>
        <v/>
      </c>
      <c r="E45" s="26" t="s">
        <v>24</v>
      </c>
      <c r="F45" s="26"/>
      <c r="G45" s="26"/>
      <c r="H45" s="26"/>
      <c r="I45" s="13" t="str">
        <f>""&amp;CSV!AB3</f>
        <v/>
      </c>
      <c r="J45" s="13" t="str">
        <f>""&amp;CSV!AC3</f>
        <v/>
      </c>
    </row>
  </sheetData>
  <mergeCells count="28">
    <mergeCell ref="E45:H45"/>
    <mergeCell ref="B18:J18"/>
    <mergeCell ref="B1:G2"/>
    <mergeCell ref="I1:J1"/>
    <mergeCell ref="B8:D8"/>
    <mergeCell ref="E8:G8"/>
    <mergeCell ref="G14:H16"/>
    <mergeCell ref="F14:F16"/>
    <mergeCell ref="I10:I11"/>
    <mergeCell ref="J10:J11"/>
    <mergeCell ref="B13:B16"/>
    <mergeCell ref="C13:D13"/>
    <mergeCell ref="C14:D16"/>
    <mergeCell ref="B9:D9"/>
    <mergeCell ref="F9:G9"/>
    <mergeCell ref="H9:H11"/>
    <mergeCell ref="E10:E11"/>
    <mergeCell ref="F10:F11"/>
    <mergeCell ref="G10:G11"/>
    <mergeCell ref="B7:D7"/>
    <mergeCell ref="E7:G7"/>
    <mergeCell ref="I2:J2"/>
    <mergeCell ref="B4:D4"/>
    <mergeCell ref="E4:F4"/>
    <mergeCell ref="H4:I4"/>
    <mergeCell ref="B5:D5"/>
    <mergeCell ref="E5:F5"/>
    <mergeCell ref="H5:I5"/>
  </mergeCells>
  <phoneticPr fontId="2"/>
  <pageMargins left="0.7" right="0.7" top="0.75" bottom="0.75" header="0.3" footer="0.3"/>
  <pageSetup paperSize="9" scale="84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個人成績評価表出力">
                <anchor moveWithCells="1" sizeWithCells="1">
                  <from>
                    <xdr:col>11</xdr:col>
                    <xdr:colOff>476250</xdr:colOff>
                    <xdr:row>3</xdr:row>
                    <xdr:rowOff>57150</xdr:rowOff>
                  </from>
                  <to>
                    <xdr:col>15</xdr:col>
                    <xdr:colOff>247650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削除">
                <anchor moveWithCells="1" sizeWithCells="1">
                  <from>
                    <xdr:col>11</xdr:col>
                    <xdr:colOff>476250</xdr:colOff>
                    <xdr:row>8</xdr:row>
                    <xdr:rowOff>47625</xdr:rowOff>
                  </from>
                  <to>
                    <xdr:col>15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SVの取り込み">
                <anchor moveWithCells="1">
                  <from>
                    <xdr:col>11</xdr:col>
                    <xdr:colOff>476250</xdr:colOff>
                    <xdr:row>14</xdr:row>
                    <xdr:rowOff>95250</xdr:rowOff>
                  </from>
                  <to>
                    <xdr:col>15</xdr:col>
                    <xdr:colOff>266700</xdr:colOff>
                    <xdr:row>19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BAAA3-D6EB-4194-805D-5F75042B8670}">
  <sheetPr codeName="Sheet2"/>
  <dimension ref="A1:AN2"/>
  <sheetViews>
    <sheetView workbookViewId="0">
      <selection sqref="A1:XFD1048576"/>
    </sheetView>
  </sheetViews>
  <sheetFormatPr defaultRowHeight="18.75" x14ac:dyDescent="0.4"/>
  <cols>
    <col min="3" max="3" width="11.375" bestFit="1" customWidth="1"/>
    <col min="5" max="5" width="10.25" bestFit="1" customWidth="1"/>
  </cols>
  <sheetData>
    <row r="1" spans="1:40" x14ac:dyDescent="0.4">
      <c r="A1">
        <v>230001</v>
      </c>
      <c r="B1" t="s">
        <v>32</v>
      </c>
      <c r="C1" s="14">
        <v>37310</v>
      </c>
      <c r="D1">
        <v>21</v>
      </c>
      <c r="E1" s="14">
        <v>45017</v>
      </c>
      <c r="F1">
        <v>0</v>
      </c>
      <c r="G1" t="s">
        <v>33</v>
      </c>
      <c r="H1">
        <v>195000</v>
      </c>
      <c r="I1">
        <v>18</v>
      </c>
      <c r="J1">
        <v>1</v>
      </c>
      <c r="K1" t="s">
        <v>28</v>
      </c>
      <c r="L1">
        <v>4</v>
      </c>
      <c r="M1">
        <v>3</v>
      </c>
      <c r="N1">
        <v>2</v>
      </c>
      <c r="O1">
        <v>0</v>
      </c>
      <c r="P1" t="s">
        <v>28</v>
      </c>
      <c r="Q1" t="s">
        <v>28</v>
      </c>
      <c r="R1" t="s">
        <v>28</v>
      </c>
      <c r="S1" t="s">
        <v>28</v>
      </c>
      <c r="T1" t="s">
        <v>28</v>
      </c>
      <c r="U1" t="s">
        <v>28</v>
      </c>
      <c r="V1" t="s">
        <v>28</v>
      </c>
      <c r="W1" t="s">
        <v>28</v>
      </c>
      <c r="X1" t="s">
        <v>28</v>
      </c>
      <c r="Y1" t="s">
        <v>28</v>
      </c>
      <c r="Z1" t="s">
        <v>28</v>
      </c>
      <c r="AA1" t="s">
        <v>28</v>
      </c>
      <c r="AB1">
        <v>2</v>
      </c>
      <c r="AC1">
        <v>0</v>
      </c>
      <c r="AD1" t="s">
        <v>29</v>
      </c>
      <c r="AE1" t="s">
        <v>34</v>
      </c>
      <c r="AF1" t="s">
        <v>31</v>
      </c>
      <c r="AG1" t="s">
        <v>28</v>
      </c>
      <c r="AH1" t="s">
        <v>28</v>
      </c>
      <c r="AI1" t="s">
        <v>28</v>
      </c>
      <c r="AJ1" t="s">
        <v>28</v>
      </c>
      <c r="AK1" t="s">
        <v>28</v>
      </c>
    </row>
    <row r="2" spans="1:40" x14ac:dyDescent="0.4">
      <c r="A2">
        <v>230003</v>
      </c>
      <c r="B2" t="s">
        <v>35</v>
      </c>
      <c r="C2" s="14">
        <v>38106</v>
      </c>
      <c r="D2">
        <v>19</v>
      </c>
      <c r="E2" s="14">
        <v>45017</v>
      </c>
      <c r="F2">
        <v>0</v>
      </c>
      <c r="G2" t="s">
        <v>36</v>
      </c>
      <c r="H2">
        <v>229000</v>
      </c>
      <c r="I2">
        <v>27</v>
      </c>
      <c r="J2">
        <v>4</v>
      </c>
      <c r="K2">
        <v>1</v>
      </c>
      <c r="L2">
        <v>3</v>
      </c>
      <c r="M2">
        <v>6</v>
      </c>
      <c r="N2">
        <v>1</v>
      </c>
      <c r="O2">
        <v>0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>
        <v>1</v>
      </c>
      <c r="AC2">
        <v>0</v>
      </c>
      <c r="AD2" t="s">
        <v>29</v>
      </c>
      <c r="AE2" t="s">
        <v>30</v>
      </c>
      <c r="AF2" t="s">
        <v>31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37</v>
      </c>
      <c r="AM2">
        <v>0</v>
      </c>
      <c r="AN2">
        <v>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個人成績評価表</vt:lpstr>
      <vt:lpstr>CSV</vt:lpstr>
      <vt:lpstr>個人成績評価表!Print_Area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k-kato</dc:creator>
  <cp:lastModifiedBy>k-kato</cp:lastModifiedBy>
  <cp:lastPrinted>2023-08-25T02:22:41Z</cp:lastPrinted>
  <dcterms:created xsi:type="dcterms:W3CDTF">2023-08-25T00:34:01Z</dcterms:created>
  <dcterms:modified xsi:type="dcterms:W3CDTF">2023-09-19T01:44:56Z</dcterms:modified>
</cp:coreProperties>
</file>