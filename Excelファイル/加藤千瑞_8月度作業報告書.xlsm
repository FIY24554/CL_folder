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6FC780C7-0829-4AC1-96F0-25AAC16339E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18" l="1"/>
  <c r="I26" i="18"/>
  <c r="H26" i="18"/>
  <c r="O39" i="18"/>
  <c r="I39" i="18"/>
  <c r="H39" i="18"/>
  <c r="O38" i="18"/>
  <c r="I38" i="18"/>
  <c r="H38" i="18"/>
  <c r="O32" i="18"/>
  <c r="I32" i="18"/>
  <c r="H32" i="18"/>
  <c r="O31" i="18"/>
  <c r="I31" i="18"/>
  <c r="H31" i="18"/>
  <c r="I25" i="18"/>
  <c r="H25" i="18"/>
  <c r="O18" i="18"/>
  <c r="I18" i="18"/>
  <c r="H18" i="18"/>
  <c r="O17" i="18"/>
  <c r="I17" i="18"/>
  <c r="H17" i="18"/>
  <c r="O11" i="18"/>
  <c r="I11" i="18"/>
  <c r="H11" i="18"/>
  <c r="O10" i="18"/>
  <c r="I10" i="18"/>
  <c r="H10" i="18"/>
  <c r="S42" i="18"/>
  <c r="R42" i="18"/>
  <c r="Q42" i="18"/>
  <c r="H46" i="18" s="1"/>
  <c r="I41" i="18"/>
  <c r="H41" i="18"/>
  <c r="I40" i="18"/>
  <c r="H40" i="18"/>
  <c r="I37" i="18"/>
  <c r="H37" i="18"/>
  <c r="I34" i="18"/>
  <c r="H34" i="18"/>
  <c r="I33" i="18"/>
  <c r="H33" i="18"/>
  <c r="I30" i="18"/>
  <c r="H30" i="18"/>
  <c r="I27" i="18"/>
  <c r="H27" i="18"/>
  <c r="I19" i="18"/>
  <c r="H19" i="18"/>
  <c r="I16" i="18"/>
  <c r="H16" i="18"/>
  <c r="I13" i="18"/>
  <c r="H13" i="18"/>
  <c r="I12" i="18"/>
  <c r="H12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M26" i="18"/>
  <c r="J26" i="18"/>
  <c r="K26" i="18" s="1"/>
  <c r="N26" i="18"/>
  <c r="N39" i="18"/>
  <c r="J38" i="18"/>
  <c r="K38" i="18" s="1"/>
  <c r="M39" i="18"/>
  <c r="J39" i="18"/>
  <c r="K39" i="18" s="1"/>
  <c r="N38" i="18"/>
  <c r="M38" i="18"/>
  <c r="L38" i="18" s="1"/>
  <c r="N32" i="18"/>
  <c r="J31" i="18"/>
  <c r="K31" i="18" s="1"/>
  <c r="M32" i="18"/>
  <c r="J32" i="18"/>
  <c r="K32" i="18" s="1"/>
  <c r="N31" i="18"/>
  <c r="M31" i="18"/>
  <c r="L31" i="18" s="1"/>
  <c r="N18" i="18"/>
  <c r="J17" i="18"/>
  <c r="K17" i="18" s="1"/>
  <c r="M18" i="18"/>
  <c r="J18" i="18"/>
  <c r="K18" i="18" s="1"/>
  <c r="N17" i="18"/>
  <c r="M17" i="18"/>
  <c r="L17" i="18" s="1"/>
  <c r="N11" i="18"/>
  <c r="J10" i="18"/>
  <c r="K10" i="18" s="1"/>
  <c r="M11" i="18"/>
  <c r="J11" i="18"/>
  <c r="K11" i="18" s="1"/>
  <c r="N10" i="18"/>
  <c r="M10" i="18"/>
  <c r="L10" i="18" s="1"/>
  <c r="D17" i="18"/>
  <c r="D18" i="18"/>
  <c r="D14" i="18"/>
  <c r="D12" i="18"/>
  <c r="J12" i="18" s="1"/>
  <c r="D13" i="18"/>
  <c r="D19" i="18"/>
  <c r="N19" i="18" s="1"/>
  <c r="D15" i="18"/>
  <c r="J19" i="18"/>
  <c r="N12" i="18"/>
  <c r="N13" i="18"/>
  <c r="D10" i="18"/>
  <c r="D21" i="18"/>
  <c r="D16" i="18"/>
  <c r="J16" i="18" s="1"/>
  <c r="D11" i="18"/>
  <c r="D20" i="18"/>
  <c r="N16" i="18"/>
  <c r="L11" i="18"/>
  <c r="L18" i="18"/>
  <c r="L32" i="18"/>
  <c r="L39" i="18"/>
  <c r="L26" i="18"/>
  <c r="P26" i="18" l="1"/>
  <c r="P39" i="18"/>
  <c r="P32" i="18"/>
  <c r="P18" i="18"/>
  <c r="P11" i="18"/>
  <c r="B10" i="18"/>
  <c r="O13" i="18"/>
  <c r="O16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O19" i="18"/>
  <c r="O12" i="18"/>
  <c r="J13" i="18"/>
  <c r="K12" i="18"/>
  <c r="K13" i="18"/>
  <c r="D22" i="18"/>
  <c r="M12" i="18"/>
  <c r="M13" i="18"/>
  <c r="M19" i="18"/>
  <c r="K19" i="18"/>
  <c r="M16" i="18"/>
  <c r="P13" i="18" l="1"/>
  <c r="A23" i="18"/>
  <c r="B22" i="18"/>
  <c r="L13" i="18"/>
  <c r="D23" i="18"/>
  <c r="L19" i="18"/>
  <c r="L12" i="18"/>
  <c r="A24" i="18" l="1"/>
  <c r="B23" i="18"/>
  <c r="D24" i="18"/>
  <c r="A25" i="18" l="1"/>
  <c r="B24" i="18"/>
  <c r="D25" i="18"/>
  <c r="J25" i="18"/>
  <c r="K25" i="18" s="1"/>
  <c r="M25" i="18"/>
  <c r="L25" i="18" s="1"/>
  <c r="P25" i="18" l="1"/>
  <c r="A26" i="18"/>
  <c r="B25" i="18"/>
  <c r="O25" i="18"/>
  <c r="N25" i="18" s="1"/>
  <c r="D26" i="18"/>
  <c r="A27" i="18" l="1"/>
  <c r="B26" i="18"/>
  <c r="D27" i="18"/>
  <c r="J27" i="18"/>
  <c r="N27" i="18"/>
  <c r="L42" i="18" l="1"/>
  <c r="O27" i="18"/>
  <c r="A28" i="18"/>
  <c r="B27" i="18"/>
  <c r="K27" i="18"/>
  <c r="D28" i="18"/>
  <c r="M27" i="18"/>
  <c r="P27" i="18" l="1"/>
  <c r="A29" i="18"/>
  <c r="B28" i="18"/>
  <c r="L27" i="18"/>
  <c r="D29" i="18"/>
  <c r="A30" i="18" l="1"/>
  <c r="B29" i="18"/>
  <c r="D30" i="18"/>
  <c r="J30" i="18" s="1"/>
  <c r="N30" i="18"/>
  <c r="O30" i="18" l="1"/>
  <c r="A31" i="18"/>
  <c r="B30" i="18"/>
  <c r="K30" i="18"/>
  <c r="D31" i="18"/>
  <c r="M30" i="18"/>
  <c r="P30" i="18" l="1"/>
  <c r="A32" i="18"/>
  <c r="B31" i="18"/>
  <c r="L30" i="18"/>
  <c r="D32" i="18"/>
  <c r="A33" i="18" l="1"/>
  <c r="B32" i="18"/>
  <c r="D33" i="18"/>
  <c r="N33" i="18" s="1"/>
  <c r="J33" i="18"/>
  <c r="A34" i="18" l="1"/>
  <c r="B33" i="18"/>
  <c r="O33" i="18"/>
  <c r="K33" i="18"/>
  <c r="D34" i="18"/>
  <c r="M33" i="18"/>
  <c r="N34" i="18"/>
  <c r="J34" i="18"/>
  <c r="P33" i="18" l="1"/>
  <c r="O34" i="18"/>
  <c r="A35" i="18"/>
  <c r="B34" i="18"/>
  <c r="K34" i="18"/>
  <c r="D35" i="18"/>
  <c r="L33" i="18"/>
  <c r="M34" i="18"/>
  <c r="P34" i="18" l="1"/>
  <c r="A36" i="18"/>
  <c r="B35" i="18"/>
  <c r="L34" i="18"/>
  <c r="D36" i="18"/>
  <c r="A37" i="18" l="1"/>
  <c r="B36" i="18"/>
  <c r="D37" i="18"/>
  <c r="J37" i="18"/>
  <c r="N37" i="18"/>
  <c r="O37" i="18" l="1"/>
  <c r="A38" i="18"/>
  <c r="B37" i="18"/>
  <c r="K37" i="18"/>
  <c r="M37" i="18"/>
  <c r="D38" i="18"/>
  <c r="P37" i="18" l="1"/>
  <c r="A39" i="18"/>
  <c r="B38" i="18"/>
  <c r="D39" i="18"/>
  <c r="L37" i="18"/>
  <c r="A40" i="18" l="1"/>
  <c r="B39" i="18"/>
  <c r="D40" i="18"/>
  <c r="N40" i="18" s="1"/>
  <c r="J40" i="18"/>
  <c r="N42" i="18" l="1"/>
  <c r="B40" i="18"/>
  <c r="O40" i="18"/>
  <c r="M40" i="18"/>
  <c r="K40" i="18"/>
  <c r="P40" i="18" l="1"/>
  <c r="P42" i="18" s="1"/>
  <c r="H45" i="18" s="1"/>
  <c r="K42" i="18"/>
  <c r="M42" i="18"/>
  <c r="O42" i="18"/>
  <c r="Q45" i="18" s="1"/>
  <c r="L40" i="18"/>
  <c r="M45" i="18" l="1"/>
  <c r="M46" i="18"/>
  <c r="Q46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<sst xmlns="http://schemas.openxmlformats.org/spreadsheetml/2006/main" count="102" uniqueCount="51">
  <si>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</si>
  <si>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</si>
  <si>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</si>
  <si>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</si>
  <si>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</si>
  <si>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</si>
  <si>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</si>
  <si>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</si>
  <si>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</si>
  <si>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</si>
  <si>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</si>
  <si>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</si>
  <si>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</si>
  <si>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</si>
  <si>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</si>
  <si>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</si>
  <si>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</si>
  <si>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</si>
  <si>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</si>
  <si>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</si>
  <si>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</si>
  <si>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</si>
  <si>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</si>
  <si>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</si>
  <si>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</si>
  <si>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</si>
  <si>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</si>
  <si>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</si>
  <si>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</si>
  <si>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</si>
  <si>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</si>
  <si>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</si>
  <si>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</si>
  <si>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</si>
  <si>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</si>
  <si>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</si>
  <si>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</si>
  <si>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</si>
  <si>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</si>
  <si>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</si>
  <si>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</si>
  <si>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</si>
  <si>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</si>
  <si>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</si>
  <si>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</si>
  <si>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</si>
  <si>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</si>
  <si>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</si>
  <si>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</si>
  <si>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自社開発</t>
    <rPh sb="0" eb="4">
      <t>ジシャカイハツ</t>
    </rPh>
    <phoneticPr fontId="1"/>
  </si>
  <si>
    <t>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</si>
</sst>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14" fontId="5" fillId="6" borderId="10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</cellXfs>
  <cellStyles count="1">
    <cellStyle name="標準" xfId="0" builtinId="0"/>
  </cellStyles>
  <dxfs count="28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topLeftCell="A33" zoomScaleNormal="100" workbookViewId="0">
      <selection activeCell="Q17" sqref="Q17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80">
        <v>45139</v>
      </c>
      <c r="G1" s="80"/>
      <c r="H1" s="80"/>
      <c r="I1" s="59"/>
    </row>
    <row r="2" spans="1:24" x14ac:dyDescent="0.15">
      <c r="A2" s="1"/>
      <c r="G2" s="59"/>
      <c r="H2" s="59"/>
      <c r="I2" s="59"/>
      <c r="T2" s="81" t="s">
        <v>23</v>
      </c>
      <c r="U2" s="81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82" t="s">
        <v>20</v>
      </c>
      <c r="B3" s="83"/>
      <c r="C3" s="62"/>
      <c r="D3" s="63"/>
      <c r="E3" s="25" t="s">
        <v>45</v>
      </c>
      <c r="F3" s="61" t="s">
        <v>35</v>
      </c>
      <c r="G3" s="84" t="s">
        <v>46</v>
      </c>
      <c r="H3" s="85"/>
      <c r="I3" s="85"/>
      <c r="J3" s="85"/>
      <c r="K3" s="85"/>
      <c r="L3" s="86"/>
      <c r="T3" s="81"/>
      <c r="U3" s="81"/>
      <c r="V3" s="81"/>
      <c r="W3" s="81"/>
      <c r="X3" s="81"/>
    </row>
    <row r="4" spans="1:24" ht="25.15" customHeight="1" x14ac:dyDescent="0.15">
      <c r="A4" s="82" t="s">
        <v>21</v>
      </c>
      <c r="B4" s="83"/>
      <c r="C4" s="62"/>
      <c r="D4" s="63"/>
      <c r="E4" s="25" t="s">
        <v>48</v>
      </c>
      <c r="F4" s="61" t="s">
        <v>22</v>
      </c>
      <c r="G4" s="84" t="s">
        <v>43</v>
      </c>
      <c r="H4" s="86"/>
      <c r="I4" s="83" t="s">
        <v>36</v>
      </c>
      <c r="J4" s="87"/>
      <c r="K4" s="88"/>
      <c r="L4" s="33">
        <v>8</v>
      </c>
      <c r="T4" s="81"/>
      <c r="U4" s="81"/>
      <c r="V4" s="81"/>
      <c r="W4" s="81"/>
      <c r="X4" s="81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77" t="s">
        <v>42</v>
      </c>
      <c r="W6" s="78"/>
      <c r="X6" s="79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68"/>
      <c r="W7" s="69"/>
      <c r="X7" s="70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71"/>
      <c r="W8" s="72"/>
      <c r="X8" s="73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74"/>
      <c r="W9" s="75"/>
      <c r="X9" s="76"/>
    </row>
    <row r="10" spans="1:24" x14ac:dyDescent="0.15">
      <c r="A10" s="36">
        <f>F1</f>
        <v>45139</v>
      </c>
      <c r="B10" s="37" t="str">
        <f t="shared" ref="B10:B40" si="0">TEXT(A10,"aaa")</f>
        <v>火</v>
      </c>
      <c r="C10" s="43"/>
      <c r="D10" s="37">
        <f>WorkKind(A10,C10,U10)</f>
        <v>1</v>
      </c>
      <c r="E10" s="50" t="s">
        <v>49</v>
      </c>
      <c r="F10" s="51">
        <v>0.375</v>
      </c>
      <c r="G10" s="51">
        <v>0.75</v>
      </c>
      <c r="H10" s="38">
        <f t="shared" ref="H10:H11" si="1">IF(F10&lt;&gt;"",CEILING(F10,TIME(0,15,0)),"")</f>
        <v>0.375</v>
      </c>
      <c r="I10" s="38">
        <f>IF(G10&lt;&gt;"",FLOOR(G10,TIME(0,15,0)),"")</f>
        <v>0.75</v>
      </c>
      <c r="J10" s="39">
        <f t="shared" ref="J10:J11" si="2">BreakTime(D10,H10,I10)</f>
        <v>1</v>
      </c>
      <c r="K10" s="39">
        <f>IF(G10&lt;&gt;"",TotalWorkTime(H10,I10,J10,R10),"")</f>
        <v>8</v>
      </c>
      <c r="L10" s="39">
        <f t="shared" ref="L10:L11" si="3">OverWorkTime(D10,I10,$L$4,K10,M10,S10,T10)</f>
        <v>0</v>
      </c>
      <c r="M10" s="39">
        <f>IF($D10&lt;&gt;3,NigthWorkTime($H10,$I10),IF($G10&lt;&gt;"",0,""))</f>
        <v>0</v>
      </c>
      <c r="N10" s="39">
        <f t="shared" ref="N10:N11" si="4">holidayWorkTime(D10,I10,K10,O10)</f>
        <v>0</v>
      </c>
      <c r="O10" s="39">
        <f>IF($D10=3,NigthWorkTime($H10,$I10),IF($G10&lt;&gt;"",0,""))</f>
        <v>0</v>
      </c>
      <c r="P10" s="39">
        <v>0</v>
      </c>
      <c r="Q10" s="52">
        <v>8</v>
      </c>
      <c r="R10" s="52"/>
      <c r="S10" s="52"/>
      <c r="T10" s="53" t="s">
        <v>47</v>
      </c>
      <c r="U10" s="54"/>
      <c r="V10" s="64"/>
      <c r="W10" s="65"/>
      <c r="X10" s="66"/>
    </row>
    <row r="11" spans="1:24" x14ac:dyDescent="0.15">
      <c r="A11" s="36">
        <f>A10+1</f>
        <v>45140</v>
      </c>
      <c r="B11" s="37" t="str">
        <f t="shared" si="0"/>
        <v>水</v>
      </c>
      <c r="C11" s="43"/>
      <c r="D11" s="37">
        <f>WorkKind(A11,C11,U11)</f>
        <v>1</v>
      </c>
      <c r="E11" s="50" t="s">
        <v>49</v>
      </c>
      <c r="F11" s="51">
        <v>0.375</v>
      </c>
      <c r="G11" s="51">
        <v>0.75</v>
      </c>
      <c r="H11" s="38">
        <f t="shared" si="1"/>
        <v>0.375</v>
      </c>
      <c r="I11" s="38">
        <f>IF(G11&lt;&gt;"",FLOOR(G11,TIME(0,15,0)),"")</f>
        <v>0.75</v>
      </c>
      <c r="J11" s="39">
        <f>BreakTime(D11,H11,I11)</f>
        <v>1</v>
      </c>
      <c r="K11" s="39">
        <f>IF(G11&lt;&gt;"",TotalWorkTime(H11,I11,J11,R11),"")</f>
        <v>8</v>
      </c>
      <c r="L11" s="39">
        <f t="shared" si="3"/>
        <v>0</v>
      </c>
      <c r="M11" s="39">
        <f>IF($D11&lt;&gt;3,NigthWorkTime($H11,$I11),IF($G11&lt;&gt;"",0,""))</f>
        <v>0</v>
      </c>
      <c r="N11" s="39">
        <f t="shared" si="4"/>
        <v>0</v>
      </c>
      <c r="O11" s="39">
        <f>IF($D11=3,NigthWorkTime($H11,$I11),IF($G11&lt;&gt;"",0,""))</f>
        <v>0</v>
      </c>
      <c r="P11" s="39">
        <f t="shared" ref="P11" si="5">IF(K11&lt;&gt;"",K11-Q11,"")</f>
        <v>0</v>
      </c>
      <c r="Q11" s="52">
        <v>8</v>
      </c>
      <c r="R11" s="52"/>
      <c r="S11" s="52"/>
      <c r="T11" s="53" t="s">
        <v>47</v>
      </c>
      <c r="U11" s="54"/>
      <c r="V11" s="64"/>
      <c r="W11" s="65"/>
      <c r="X11" s="66"/>
    </row>
    <row r="12" spans="1:24" x14ac:dyDescent="0.15">
      <c r="A12" s="36">
        <f t="shared" ref="A12:A40" si="6">A11+1</f>
        <v>45141</v>
      </c>
      <c r="B12" s="37" t="str">
        <f t="shared" si="0"/>
        <v>木</v>
      </c>
      <c r="C12" s="43"/>
      <c r="D12" s="37">
        <f t="shared" ref="D12:D38" si="7">WorkKind(A12,C12,U12)</f>
        <v>1</v>
      </c>
      <c r="E12" s="50" t="s">
        <v>49</v>
      </c>
      <c r="F12" s="51">
        <v>0.375</v>
      </c>
      <c r="G12" s="51">
        <v>0.75</v>
      </c>
      <c r="H12" s="38">
        <f t="shared" ref="H11:H41" si="8">IF(F12&lt;&gt;"",CEILING(F12,TIME(0,15,0)),"")</f>
        <v>0.375</v>
      </c>
      <c r="I12" s="38">
        <f>IF(G12&lt;&gt;"",FLOOR(G12,TIME(0,15,0)),"")</f>
        <v>0.75</v>
      </c>
      <c r="J12" s="39">
        <f t="shared" ref="J10:J40" si="9">BreakTime(D12,H12,I12)</f>
        <v>1</v>
      </c>
      <c r="K12" s="39">
        <f>IF(G12&lt;&gt;"",TotalWorkTime(H12,I12,J12,R12),"")</f>
        <v>8</v>
      </c>
      <c r="L12" s="39">
        <f t="shared" ref="L11:L40" si="10">OverWorkTime(D12,I12,$L$4,K12,M12,S12,T12)</f>
        <v>0</v>
      </c>
      <c r="M12" s="39">
        <f>IF($D12&lt;&gt;3,NigthWorkTime($H12,$I12),IF($G12&lt;&gt;"",0,""))</f>
        <v>0</v>
      </c>
      <c r="N12" s="39">
        <f t="shared" ref="N11:N40" si="11">holidayWorkTime(D12,I12,K12,O12)</f>
        <v>0</v>
      </c>
      <c r="O12" s="39">
        <f>IF($D12=3,NigthWorkTime($H12,$I12),IF($G12&lt;&gt;"",0,""))</f>
        <v>0</v>
      </c>
      <c r="P12" s="39">
        <v>0</v>
      </c>
      <c r="Q12" s="52">
        <v>8</v>
      </c>
      <c r="R12" s="52"/>
      <c r="S12" s="52"/>
      <c r="T12" s="53" t="s">
        <v>47</v>
      </c>
      <c r="U12" s="54"/>
      <c r="V12" s="64"/>
      <c r="W12" s="65"/>
      <c r="X12" s="66"/>
    </row>
    <row r="13" spans="1:24" x14ac:dyDescent="0.15">
      <c r="A13" s="36">
        <f t="shared" si="6"/>
        <v>45142</v>
      </c>
      <c r="B13" s="37" t="str">
        <f t="shared" si="0"/>
        <v>金</v>
      </c>
      <c r="C13" s="43"/>
      <c r="D13" s="37">
        <f>WorkKind(A13,C13,U13)</f>
        <v>1</v>
      </c>
      <c r="E13" s="50" t="s">
        <v>49</v>
      </c>
      <c r="F13" s="51">
        <v>0.375</v>
      </c>
      <c r="G13" s="51">
        <v>0.75</v>
      </c>
      <c r="H13" s="38">
        <f t="shared" si="8"/>
        <v>0.375</v>
      </c>
      <c r="I13" s="38">
        <f>IF(G13&lt;&gt;"",FLOOR(G13,TIME(0,15,0)),"")</f>
        <v>0.75</v>
      </c>
      <c r="J13" s="39">
        <f>BreakTime(D13,H13,I13)</f>
        <v>1</v>
      </c>
      <c r="K13" s="39">
        <f>IF(G13&lt;&gt;"",TotalWorkTime(H13,I13,J13,R13),"")</f>
        <v>8</v>
      </c>
      <c r="L13" s="39">
        <f t="shared" si="10"/>
        <v>0</v>
      </c>
      <c r="M13" s="39">
        <f>IF($D13&lt;&gt;3,NigthWorkTime($H13,$I13),IF($G13&lt;&gt;"",0,""))</f>
        <v>0</v>
      </c>
      <c r="N13" s="39">
        <f t="shared" si="11"/>
        <v>0</v>
      </c>
      <c r="O13" s="39">
        <f>IF($D13=3,NigthWorkTime($H13,$I13),IF($G13&lt;&gt;"",0,""))</f>
        <v>0</v>
      </c>
      <c r="P13" s="39">
        <f t="shared" ref="P10:P40" si="12">IF(K13&lt;&gt;"",K13-Q13,"")</f>
        <v>0</v>
      </c>
      <c r="Q13" s="52">
        <v>8</v>
      </c>
      <c r="R13" s="52"/>
      <c r="S13" s="52"/>
      <c r="T13" s="53" t="s">
        <v>47</v>
      </c>
      <c r="U13" s="54"/>
      <c r="V13" s="64"/>
      <c r="W13" s="65"/>
      <c r="X13" s="66"/>
    </row>
    <row r="14" spans="1:24" x14ac:dyDescent="0.15">
      <c r="A14" s="36">
        <f t="shared" si="6"/>
        <v>45143</v>
      </c>
      <c r="B14" s="37" t="str">
        <f t="shared" si="0"/>
        <v>土</v>
      </c>
      <c r="C14" s="43"/>
      <c r="D14" s="37">
        <f>WorkKind(A14,C14,U14)</f>
        <v>2</v>
      </c>
      <c r="E14" s="50"/>
      <c r="F14" s="51"/>
      <c r="G14" s="51"/>
      <c r="H14" s="38"/>
      <c r="I14" s="38"/>
      <c r="J14" s="39"/>
      <c r="K14" s="39"/>
      <c r="L14" s="39"/>
      <c r="M14" s="39"/>
      <c r="N14" s="39"/>
      <c r="O14" s="39"/>
      <c r="P14" s="39"/>
      <c r="Q14" s="52"/>
      <c r="R14" s="52"/>
      <c r="S14" s="52"/>
      <c r="T14" s="53" t="s">
        <v>47</v>
      </c>
      <c r="U14" s="54"/>
      <c r="V14" s="64"/>
      <c r="W14" s="65"/>
      <c r="X14" s="66"/>
    </row>
    <row r="15" spans="1:24" x14ac:dyDescent="0.15">
      <c r="A15" s="36">
        <f t="shared" si="6"/>
        <v>45144</v>
      </c>
      <c r="B15" s="37" t="str">
        <f t="shared" si="0"/>
        <v>日</v>
      </c>
      <c r="C15" s="43"/>
      <c r="D15" s="37">
        <f t="shared" si="7"/>
        <v>3</v>
      </c>
      <c r="E15" s="50"/>
      <c r="F15" s="51"/>
      <c r="G15" s="51"/>
      <c r="H15" s="38"/>
      <c r="I15" s="38"/>
      <c r="J15" s="39"/>
      <c r="K15" s="39"/>
      <c r="L15" s="39"/>
      <c r="M15" s="39"/>
      <c r="N15" s="39"/>
      <c r="O15" s="39"/>
      <c r="P15" s="39"/>
      <c r="Q15" s="52"/>
      <c r="R15" s="52"/>
      <c r="S15" s="52"/>
      <c r="T15" s="53" t="s">
        <v>47</v>
      </c>
      <c r="U15" s="54"/>
      <c r="V15" s="64"/>
      <c r="W15" s="65"/>
      <c r="X15" s="66"/>
    </row>
    <row r="16" spans="1:24" x14ac:dyDescent="0.15">
      <c r="A16" s="36">
        <f t="shared" si="6"/>
        <v>45145</v>
      </c>
      <c r="B16" s="37" t="str">
        <f t="shared" si="0"/>
        <v>月</v>
      </c>
      <c r="C16" s="43"/>
      <c r="D16" s="37">
        <f t="shared" si="7"/>
        <v>1</v>
      </c>
      <c r="E16" s="50" t="s">
        <v>49</v>
      </c>
      <c r="F16" s="51">
        <v>0.375</v>
      </c>
      <c r="G16" s="51">
        <v>0.75</v>
      </c>
      <c r="H16" s="38">
        <f t="shared" si="8"/>
        <v>0.375</v>
      </c>
      <c r="I16" s="38">
        <f t="shared" ref="I11:I41" si="13">IF(G16&lt;&gt;"",FLOOR(G16,TIME(0,15,0)),"")</f>
        <v>0.75</v>
      </c>
      <c r="J16" s="39">
        <f t="shared" si="9"/>
        <v>1</v>
      </c>
      <c r="K16" s="39">
        <v>8</v>
      </c>
      <c r="L16" s="39">
        <v>0</v>
      </c>
      <c r="M16" s="39">
        <f>IF($D16&lt;&gt;3,NigthWorkTime($H16,$I16),IF($G16&lt;&gt;"",0,""))</f>
        <v>0</v>
      </c>
      <c r="N16" s="39">
        <f t="shared" si="11"/>
        <v>0</v>
      </c>
      <c r="O16" s="39">
        <f>IF($D16=3,NigthWorkTime($H16,$I16),IF($G16&lt;&gt;"",0,""))</f>
        <v>0</v>
      </c>
      <c r="P16" s="39">
        <v>0</v>
      </c>
      <c r="Q16" s="52">
        <v>8</v>
      </c>
      <c r="R16" s="52"/>
      <c r="S16" s="52"/>
      <c r="T16" s="53" t="s">
        <v>47</v>
      </c>
      <c r="U16" s="54"/>
      <c r="V16" s="64"/>
      <c r="W16" s="65"/>
      <c r="X16" s="66"/>
    </row>
    <row r="17" spans="1:24" x14ac:dyDescent="0.15">
      <c r="A17" s="36">
        <f t="shared" si="6"/>
        <v>45146</v>
      </c>
      <c r="B17" s="37" t="str">
        <f t="shared" si="0"/>
        <v>火</v>
      </c>
      <c r="C17" s="43"/>
      <c r="D17" s="37">
        <f t="shared" si="7"/>
        <v>1</v>
      </c>
      <c r="E17" s="50" t="s">
        <v>49</v>
      </c>
      <c r="F17" s="51">
        <v>0.375</v>
      </c>
      <c r="G17" s="51">
        <v>0.75</v>
      </c>
      <c r="H17" s="38">
        <f t="shared" ref="H17:H18" si="14">IF(F17&lt;&gt;"",CEILING(F17,TIME(0,15,0)),"")</f>
        <v>0.375</v>
      </c>
      <c r="I17" s="38">
        <f>IF(G17&lt;&gt;"",FLOOR(G17,TIME(0,15,0)),"")</f>
        <v>0.75</v>
      </c>
      <c r="J17" s="39">
        <f t="shared" ref="J17:J18" si="15">BreakTime(D17,H17,I17)</f>
        <v>1</v>
      </c>
      <c r="K17" s="39">
        <f>IF(G17&lt;&gt;"",TotalWorkTime(H17,I17,J17,R17),"")</f>
        <v>8</v>
      </c>
      <c r="L17" s="39">
        <f t="shared" ref="L17:L18" si="16">OverWorkTime(D17,I17,$L$4,K17,M17,S17,T17)</f>
        <v>0</v>
      </c>
      <c r="M17" s="39">
        <f>IF($D17&lt;&gt;3,NigthWorkTime($H17,$I17),IF($G17&lt;&gt;"",0,""))</f>
        <v>0</v>
      </c>
      <c r="N17" s="39">
        <f t="shared" ref="N17:N18" si="17">holidayWorkTime(D17,I17,K17,O17)</f>
        <v>0</v>
      </c>
      <c r="O17" s="39">
        <f>IF($D17=3,NigthWorkTime($H17,$I17),IF($G17&lt;&gt;"",0,""))</f>
        <v>0</v>
      </c>
      <c r="P17" s="39">
        <v>0</v>
      </c>
      <c r="Q17" s="52">
        <v>8</v>
      </c>
      <c r="R17" s="52"/>
      <c r="S17" s="52"/>
      <c r="T17" s="53" t="s">
        <v>47</v>
      </c>
      <c r="U17" s="54"/>
      <c r="V17" s="64"/>
      <c r="W17" s="65"/>
      <c r="X17" s="66"/>
    </row>
    <row r="18" spans="1:24" x14ac:dyDescent="0.15">
      <c r="A18" s="36">
        <f t="shared" si="6"/>
        <v>45147</v>
      </c>
      <c r="B18" s="37" t="str">
        <f t="shared" si="0"/>
        <v>水</v>
      </c>
      <c r="C18" s="43"/>
      <c r="D18" s="37">
        <f t="shared" si="7"/>
        <v>1</v>
      </c>
      <c r="E18" s="50" t="s">
        <v>49</v>
      </c>
      <c r="F18" s="51">
        <v>0.375</v>
      </c>
      <c r="G18" s="51">
        <v>0.75</v>
      </c>
      <c r="H18" s="38">
        <f t="shared" si="14"/>
        <v>0.375</v>
      </c>
      <c r="I18" s="38">
        <f>IF(G18&lt;&gt;"",FLOOR(G18,TIME(0,15,0)),"")</f>
        <v>0.75</v>
      </c>
      <c r="J18" s="39">
        <f>BreakTime(D18,H18,I18)</f>
        <v>1</v>
      </c>
      <c r="K18" s="39">
        <f>IF(G18&lt;&gt;"",TotalWorkTime(H18,I18,J18,R18),"")</f>
        <v>8</v>
      </c>
      <c r="L18" s="39">
        <f t="shared" si="16"/>
        <v>0</v>
      </c>
      <c r="M18" s="39">
        <f>IF($D18&lt;&gt;3,NigthWorkTime($H18,$I18),IF($G18&lt;&gt;"",0,""))</f>
        <v>0</v>
      </c>
      <c r="N18" s="39">
        <f t="shared" si="17"/>
        <v>0</v>
      </c>
      <c r="O18" s="39">
        <f>IF($D18=3,NigthWorkTime($H18,$I18),IF($G18&lt;&gt;"",0,""))</f>
        <v>0</v>
      </c>
      <c r="P18" s="39">
        <f t="shared" ref="P18" si="18">IF(K18&lt;&gt;"",K18-Q18,"")</f>
        <v>0</v>
      </c>
      <c r="Q18" s="52">
        <v>8</v>
      </c>
      <c r="R18" s="52"/>
      <c r="S18" s="52"/>
      <c r="T18" s="53" t="s">
        <v>47</v>
      </c>
      <c r="U18" s="54"/>
      <c r="V18" s="64"/>
      <c r="W18" s="65"/>
      <c r="X18" s="66"/>
    </row>
    <row r="19" spans="1:24" x14ac:dyDescent="0.15">
      <c r="A19" s="36">
        <f t="shared" si="6"/>
        <v>45148</v>
      </c>
      <c r="B19" s="37" t="str">
        <f t="shared" si="0"/>
        <v>木</v>
      </c>
      <c r="C19" s="43"/>
      <c r="D19" s="37">
        <f t="shared" si="7"/>
        <v>1</v>
      </c>
      <c r="E19" s="50" t="s">
        <v>49</v>
      </c>
      <c r="F19" s="51">
        <v>0.375</v>
      </c>
      <c r="G19" s="51">
        <v>0.75</v>
      </c>
      <c r="H19" s="38">
        <f t="shared" si="8"/>
        <v>0.375</v>
      </c>
      <c r="I19" s="38">
        <f t="shared" si="13"/>
        <v>0.75</v>
      </c>
      <c r="J19" s="39">
        <f t="shared" si="9"/>
        <v>1</v>
      </c>
      <c r="K19" s="39">
        <f>IF(G19&lt;&gt;"",TotalWorkTime(H19,I19,J19,R19),"")</f>
        <v>8</v>
      </c>
      <c r="L19" s="39">
        <f t="shared" si="10"/>
        <v>0</v>
      </c>
      <c r="M19" s="39">
        <f>IF($D19&lt;&gt;3,NigthWorkTime($H19,$I19),IF($G19&lt;&gt;"",0,""))</f>
        <v>0</v>
      </c>
      <c r="N19" s="39">
        <f t="shared" si="11"/>
        <v>0</v>
      </c>
      <c r="O19" s="39">
        <f>IF($D19=3,NigthWorkTime($H19,$I19),IF($G19&lt;&gt;"",0,""))</f>
        <v>0</v>
      </c>
      <c r="P19" s="39">
        <v>0</v>
      </c>
      <c r="Q19" s="52">
        <v>8</v>
      </c>
      <c r="R19" s="52"/>
      <c r="S19" s="52"/>
      <c r="T19" s="53" t="s">
        <v>47</v>
      </c>
      <c r="U19" s="54"/>
      <c r="V19" s="64"/>
      <c r="W19" s="65"/>
      <c r="X19" s="66"/>
    </row>
    <row r="20" spans="1:24" x14ac:dyDescent="0.15">
      <c r="A20" s="36">
        <f t="shared" si="6"/>
        <v>45149</v>
      </c>
      <c r="B20" s="37" t="str">
        <f t="shared" si="0"/>
        <v>金</v>
      </c>
      <c r="C20" s="43" t="s">
        <v>50</v>
      </c>
      <c r="D20" s="37">
        <f t="shared" si="7"/>
        <v>3</v>
      </c>
      <c r="E20" s="50"/>
      <c r="F20" s="51"/>
      <c r="G20" s="51"/>
      <c r="H20" s="38"/>
      <c r="I20" s="38"/>
      <c r="J20" s="39"/>
      <c r="K20" s="39"/>
      <c r="L20" s="39"/>
      <c r="M20" s="39"/>
      <c r="N20" s="39"/>
      <c r="O20" s="39"/>
      <c r="P20" s="39"/>
      <c r="Q20" s="52"/>
      <c r="R20" s="52"/>
      <c r="S20" s="52"/>
      <c r="T20" s="53" t="s">
        <v>47</v>
      </c>
      <c r="U20" s="54"/>
      <c r="V20" s="64"/>
      <c r="W20" s="65"/>
      <c r="X20" s="66"/>
    </row>
    <row r="21" spans="1:24" x14ac:dyDescent="0.15">
      <c r="A21" s="36">
        <f t="shared" si="6"/>
        <v>45150</v>
      </c>
      <c r="B21" s="37" t="str">
        <f t="shared" si="0"/>
        <v>土</v>
      </c>
      <c r="C21" s="43"/>
      <c r="D21" s="37">
        <f t="shared" si="7"/>
        <v>2</v>
      </c>
      <c r="E21" s="50"/>
      <c r="F21" s="51"/>
      <c r="G21" s="51"/>
      <c r="H21" s="38"/>
      <c r="I21" s="38"/>
      <c r="J21" s="39"/>
      <c r="K21" s="39"/>
      <c r="L21" s="39"/>
      <c r="M21" s="39"/>
      <c r="N21" s="39"/>
      <c r="O21" s="39"/>
      <c r="P21" s="39"/>
      <c r="Q21" s="52"/>
      <c r="R21" s="52"/>
      <c r="S21" s="52"/>
      <c r="T21" s="53" t="s">
        <v>47</v>
      </c>
      <c r="U21" s="54"/>
      <c r="V21" s="64"/>
      <c r="W21" s="65"/>
      <c r="X21" s="66"/>
    </row>
    <row r="22" spans="1:24" x14ac:dyDescent="0.15">
      <c r="A22" s="36">
        <f t="shared" si="6"/>
        <v>45151</v>
      </c>
      <c r="B22" s="37" t="str">
        <f t="shared" si="0"/>
        <v>日</v>
      </c>
      <c r="C22" s="43"/>
      <c r="D22" s="37">
        <f t="shared" si="7"/>
        <v>3</v>
      </c>
      <c r="E22" s="50"/>
      <c r="F22" s="51"/>
      <c r="G22" s="51"/>
      <c r="H22" s="38"/>
      <c r="I22" s="38"/>
      <c r="J22" s="39"/>
      <c r="K22" s="39"/>
      <c r="L22" s="39"/>
      <c r="M22" s="39"/>
      <c r="N22" s="39"/>
      <c r="O22" s="39"/>
      <c r="P22" s="39"/>
      <c r="Q22" s="52"/>
      <c r="R22" s="52"/>
      <c r="S22" s="52"/>
      <c r="T22" s="53" t="s">
        <v>47</v>
      </c>
      <c r="U22" s="54"/>
      <c r="V22" s="64"/>
      <c r="W22" s="65"/>
      <c r="X22" s="66"/>
    </row>
    <row r="23" spans="1:24" x14ac:dyDescent="0.15">
      <c r="A23" s="36">
        <f t="shared" si="6"/>
        <v>45152</v>
      </c>
      <c r="B23" s="37" t="str">
        <f t="shared" si="0"/>
        <v>月</v>
      </c>
      <c r="C23" s="43" t="s">
        <v>50</v>
      </c>
      <c r="D23" s="37">
        <f t="shared" si="7"/>
        <v>3</v>
      </c>
      <c r="E23" s="50"/>
      <c r="F23" s="51"/>
      <c r="G23" s="51"/>
      <c r="H23" s="38"/>
      <c r="I23" s="38"/>
      <c r="J23" s="39"/>
      <c r="K23" s="39"/>
      <c r="L23" s="39"/>
      <c r="M23" s="39"/>
      <c r="N23" s="39"/>
      <c r="O23" s="39"/>
      <c r="P23" s="39"/>
      <c r="Q23" s="52"/>
      <c r="R23" s="52"/>
      <c r="S23" s="52"/>
      <c r="T23" s="53" t="s">
        <v>47</v>
      </c>
      <c r="U23" s="54"/>
      <c r="V23" s="64"/>
      <c r="W23" s="65"/>
      <c r="X23" s="66"/>
    </row>
    <row r="24" spans="1:24" x14ac:dyDescent="0.15">
      <c r="A24" s="36">
        <f t="shared" si="6"/>
        <v>45153</v>
      </c>
      <c r="B24" s="37" t="str">
        <f t="shared" si="0"/>
        <v>火</v>
      </c>
      <c r="C24" s="43" t="s">
        <v>50</v>
      </c>
      <c r="D24" s="37">
        <f t="shared" si="7"/>
        <v>3</v>
      </c>
      <c r="E24" s="50"/>
      <c r="F24" s="51"/>
      <c r="G24" s="51"/>
      <c r="H24" s="38"/>
      <c r="I24" s="38"/>
      <c r="J24" s="39"/>
      <c r="K24" s="39"/>
      <c r="L24" s="39"/>
      <c r="M24" s="39"/>
      <c r="N24" s="39"/>
      <c r="O24" s="39"/>
      <c r="P24" s="39"/>
      <c r="Q24" s="52"/>
      <c r="R24" s="52"/>
      <c r="S24" s="52"/>
      <c r="T24" s="53" t="s">
        <v>47</v>
      </c>
      <c r="U24" s="54"/>
      <c r="V24" s="64"/>
      <c r="W24" s="65"/>
      <c r="X24" s="66"/>
    </row>
    <row r="25" spans="1:24" x14ac:dyDescent="0.15">
      <c r="A25" s="36">
        <f t="shared" si="6"/>
        <v>45154</v>
      </c>
      <c r="B25" s="37" t="str">
        <f t="shared" si="0"/>
        <v>水</v>
      </c>
      <c r="C25" s="43"/>
      <c r="D25" s="37">
        <f t="shared" si="7"/>
        <v>1</v>
      </c>
      <c r="E25" s="50" t="s">
        <v>49</v>
      </c>
      <c r="F25" s="51">
        <v>0.375</v>
      </c>
      <c r="G25" s="51">
        <v>0.75</v>
      </c>
      <c r="H25" s="38">
        <f t="shared" ref="H24:H26" si="19">IF(F25&lt;&gt;"",CEILING(F25,TIME(0,15,0)),"")</f>
        <v>0.375</v>
      </c>
      <c r="I25" s="38">
        <f t="shared" ref="I24:I26" si="20">IF(G25&lt;&gt;"",FLOOR(G25,TIME(0,15,0)),"")</f>
        <v>0.75</v>
      </c>
      <c r="J25" s="39">
        <f t="shared" ref="J24:J26" si="21">BreakTime(D25,H25,I25)</f>
        <v>1</v>
      </c>
      <c r="K25" s="39">
        <f>IF(G25&lt;&gt;"",TotalWorkTime(H25,I25,J25,R25),"")</f>
        <v>8</v>
      </c>
      <c r="L25" s="39">
        <f t="shared" ref="L24:L26" si="22">OverWorkTime(D25,I25,$L$4,K25,M25,S25,T25)</f>
        <v>0</v>
      </c>
      <c r="M25" s="39">
        <f>IF($D25&lt;&gt;3,NigthWorkTime($H25,$I25),IF($G25&lt;&gt;"",0,""))</f>
        <v>0</v>
      </c>
      <c r="N25" s="39">
        <f t="shared" ref="N24:N26" si="23">holidayWorkTime(D25,I25,K25,O25)</f>
        <v>0</v>
      </c>
      <c r="O25" s="39">
        <f>IF($D25=3,NigthWorkTime($H25,$I25),IF($G25&lt;&gt;"",0,""))</f>
        <v>0</v>
      </c>
      <c r="P25" s="39">
        <f t="shared" ref="P25:P26" si="24">IF(K25&lt;&gt;"",K25-Q25,"")</f>
        <v>0</v>
      </c>
      <c r="Q25" s="52">
        <v>8</v>
      </c>
      <c r="R25" s="52"/>
      <c r="S25" s="52"/>
      <c r="T25" s="53" t="s">
        <v>47</v>
      </c>
      <c r="U25" s="54"/>
      <c r="V25" s="64"/>
      <c r="W25" s="65"/>
      <c r="X25" s="66"/>
    </row>
    <row r="26" spans="1:24" x14ac:dyDescent="0.15">
      <c r="A26" s="36">
        <f t="shared" si="6"/>
        <v>45155</v>
      </c>
      <c r="B26" s="37" t="str">
        <f t="shared" si="0"/>
        <v>木</v>
      </c>
      <c r="C26" s="43"/>
      <c r="D26" s="37">
        <f t="shared" si="7"/>
        <v>1</v>
      </c>
      <c r="E26" s="50" t="s">
        <v>49</v>
      </c>
      <c r="F26" s="51">
        <v>0.375</v>
      </c>
      <c r="G26" s="51">
        <v>0.75</v>
      </c>
      <c r="H26" s="38">
        <f t="shared" si="19"/>
        <v>0.375</v>
      </c>
      <c r="I26" s="38">
        <f t="shared" si="20"/>
        <v>0.75</v>
      </c>
      <c r="J26" s="39">
        <f t="shared" si="21"/>
        <v>1</v>
      </c>
      <c r="K26" s="39">
        <f>IF(G26&lt;&gt;"",TotalWorkTime(H26,I26,J26,R26),"")</f>
        <v>8</v>
      </c>
      <c r="L26" s="39">
        <f t="shared" si="22"/>
        <v>0</v>
      </c>
      <c r="M26" s="39">
        <f>IF($D26&lt;&gt;3,NigthWorkTime($H26,$I26),IF($G26&lt;&gt;"",0,""))</f>
        <v>0</v>
      </c>
      <c r="N26" s="39">
        <f t="shared" si="23"/>
        <v>0</v>
      </c>
      <c r="O26" s="39">
        <f>IF($D26=3,NigthWorkTime($H26,$I26),IF($G26&lt;&gt;"",0,""))</f>
        <v>0</v>
      </c>
      <c r="P26" s="39">
        <f t="shared" si="24"/>
        <v>0</v>
      </c>
      <c r="Q26" s="52">
        <v>8</v>
      </c>
      <c r="R26" s="52"/>
      <c r="S26" s="52"/>
      <c r="T26" s="53" t="s">
        <v>47</v>
      </c>
      <c r="U26" s="54"/>
      <c r="V26" s="64"/>
      <c r="W26" s="65"/>
      <c r="X26" s="66"/>
    </row>
    <row r="27" spans="1:24" x14ac:dyDescent="0.15">
      <c r="A27" s="36">
        <f t="shared" si="6"/>
        <v>45156</v>
      </c>
      <c r="B27" s="37" t="str">
        <f t="shared" si="0"/>
        <v>金</v>
      </c>
      <c r="C27" s="43"/>
      <c r="D27" s="37">
        <f t="shared" si="7"/>
        <v>1</v>
      </c>
      <c r="E27" s="50" t="s">
        <v>49</v>
      </c>
      <c r="F27" s="51">
        <v>0.375</v>
      </c>
      <c r="G27" s="51">
        <v>0.75</v>
      </c>
      <c r="H27" s="38">
        <f t="shared" si="8"/>
        <v>0.375</v>
      </c>
      <c r="I27" s="38">
        <f t="shared" si="13"/>
        <v>0.75</v>
      </c>
      <c r="J27" s="39">
        <f t="shared" si="9"/>
        <v>1</v>
      </c>
      <c r="K27" s="39">
        <f>IF(G27&lt;&gt;"",TotalWorkTime(H27,I27,J27,R27),"")</f>
        <v>8</v>
      </c>
      <c r="L27" s="39">
        <f t="shared" si="10"/>
        <v>0</v>
      </c>
      <c r="M27" s="39">
        <f>IF($D27&lt;&gt;3,NigthWorkTime($H27,$I27),IF($G27&lt;&gt;"",0,""))</f>
        <v>0</v>
      </c>
      <c r="N27" s="39">
        <f t="shared" si="11"/>
        <v>0</v>
      </c>
      <c r="O27" s="39">
        <f>IF($D27=3,NigthWorkTime($H27,$I27),IF($G27&lt;&gt;"",0,""))</f>
        <v>0</v>
      </c>
      <c r="P27" s="39">
        <f t="shared" si="12"/>
        <v>0</v>
      </c>
      <c r="Q27" s="52">
        <v>8</v>
      </c>
      <c r="R27" s="52"/>
      <c r="S27" s="52"/>
      <c r="T27" s="53" t="s">
        <v>47</v>
      </c>
      <c r="U27" s="54"/>
      <c r="V27" s="64"/>
      <c r="W27" s="65"/>
      <c r="X27" s="66"/>
    </row>
    <row r="28" spans="1:24" x14ac:dyDescent="0.15">
      <c r="A28" s="36">
        <f t="shared" si="6"/>
        <v>45157</v>
      </c>
      <c r="B28" s="37" t="str">
        <f t="shared" si="0"/>
        <v>土</v>
      </c>
      <c r="C28" s="43"/>
      <c r="D28" s="37">
        <f>WorkKind(A28,C28,U28)</f>
        <v>2</v>
      </c>
      <c r="E28" s="50"/>
      <c r="F28" s="51"/>
      <c r="G28" s="51"/>
      <c r="H28" s="38"/>
      <c r="I28" s="38"/>
      <c r="J28" s="39"/>
      <c r="K28" s="39"/>
      <c r="L28" s="39"/>
      <c r="M28" s="39"/>
      <c r="N28" s="39"/>
      <c r="O28" s="39"/>
      <c r="P28" s="39"/>
      <c r="Q28" s="52"/>
      <c r="R28" s="52"/>
      <c r="S28" s="52"/>
      <c r="T28" s="53" t="s">
        <v>47</v>
      </c>
      <c r="U28" s="54"/>
      <c r="V28" s="64"/>
      <c r="W28" s="65"/>
      <c r="X28" s="66"/>
    </row>
    <row r="29" spans="1:24" x14ac:dyDescent="0.15">
      <c r="A29" s="36">
        <f t="shared" si="6"/>
        <v>45158</v>
      </c>
      <c r="B29" s="37" t="str">
        <f t="shared" si="0"/>
        <v>日</v>
      </c>
      <c r="C29" s="43"/>
      <c r="D29" s="37">
        <f t="shared" si="7"/>
        <v>3</v>
      </c>
      <c r="E29" s="50"/>
      <c r="F29" s="51"/>
      <c r="G29" s="51"/>
      <c r="H29" s="38"/>
      <c r="I29" s="38"/>
      <c r="J29" s="39"/>
      <c r="K29" s="39"/>
      <c r="L29" s="39"/>
      <c r="M29" s="39"/>
      <c r="N29" s="39"/>
      <c r="O29" s="39"/>
      <c r="P29" s="39"/>
      <c r="Q29" s="52"/>
      <c r="R29" s="52"/>
      <c r="S29" s="52"/>
      <c r="T29" s="53" t="s">
        <v>47</v>
      </c>
      <c r="U29" s="54"/>
      <c r="V29" s="64"/>
      <c r="W29" s="65"/>
      <c r="X29" s="66"/>
    </row>
    <row r="30" spans="1:24" x14ac:dyDescent="0.15">
      <c r="A30" s="36">
        <f t="shared" si="6"/>
        <v>45159</v>
      </c>
      <c r="B30" s="37" t="str">
        <f t="shared" si="0"/>
        <v>月</v>
      </c>
      <c r="C30" s="43"/>
      <c r="D30" s="37">
        <f t="shared" si="7"/>
        <v>1</v>
      </c>
      <c r="E30" s="50" t="s">
        <v>49</v>
      </c>
      <c r="F30" s="51">
        <v>0.375</v>
      </c>
      <c r="G30" s="51">
        <v>0.75</v>
      </c>
      <c r="H30" s="38">
        <f t="shared" si="8"/>
        <v>0.375</v>
      </c>
      <c r="I30" s="38">
        <f t="shared" si="13"/>
        <v>0.75</v>
      </c>
      <c r="J30" s="39">
        <f t="shared" si="9"/>
        <v>1</v>
      </c>
      <c r="K30" s="39">
        <f>IF(G30&lt;&gt;"",TotalWorkTime(H30,I30,J30,R30),"")</f>
        <v>8</v>
      </c>
      <c r="L30" s="39">
        <f t="shared" si="10"/>
        <v>0</v>
      </c>
      <c r="M30" s="39">
        <f>IF($D30&lt;&gt;3,NigthWorkTime($H30,$I30),IF($G30&lt;&gt;"",0,""))</f>
        <v>0</v>
      </c>
      <c r="N30" s="39">
        <f t="shared" si="11"/>
        <v>0</v>
      </c>
      <c r="O30" s="39">
        <f>IF($D30=3,NigthWorkTime($H30,$I30),IF($G30&lt;&gt;"",0,""))</f>
        <v>0</v>
      </c>
      <c r="P30" s="39">
        <f t="shared" si="12"/>
        <v>0</v>
      </c>
      <c r="Q30" s="52">
        <v>8</v>
      </c>
      <c r="R30" s="52"/>
      <c r="S30" s="52"/>
      <c r="T30" s="53" t="s">
        <v>47</v>
      </c>
      <c r="U30" s="54"/>
      <c r="V30" s="64"/>
      <c r="W30" s="65"/>
      <c r="X30" s="66"/>
    </row>
    <row r="31" spans="1:24" x14ac:dyDescent="0.15">
      <c r="A31" s="36">
        <f t="shared" si="6"/>
        <v>45160</v>
      </c>
      <c r="B31" s="37" t="str">
        <f t="shared" si="0"/>
        <v>火</v>
      </c>
      <c r="C31" s="43"/>
      <c r="D31" s="37">
        <f t="shared" si="7"/>
        <v>1</v>
      </c>
      <c r="E31" s="50" t="s">
        <v>49</v>
      </c>
      <c r="F31" s="51">
        <v>0.375</v>
      </c>
      <c r="G31" s="51">
        <v>0.75</v>
      </c>
      <c r="H31" s="38">
        <f t="shared" ref="H31:H32" si="25">IF(F31&lt;&gt;"",CEILING(F31,TIME(0,15,0)),"")</f>
        <v>0.375</v>
      </c>
      <c r="I31" s="38">
        <f t="shared" ref="I31:I32" si="26">IF(G31&lt;&gt;"",FLOOR(G31,TIME(0,15,0)),"")</f>
        <v>0.75</v>
      </c>
      <c r="J31" s="39">
        <f t="shared" ref="J31:J32" si="27">BreakTime(D31,H31,I31)</f>
        <v>1</v>
      </c>
      <c r="K31" s="39">
        <f>IF(G31&lt;&gt;"",TotalWorkTime(H31,I31,J31,R31),"")</f>
        <v>8</v>
      </c>
      <c r="L31" s="39">
        <f t="shared" ref="L31:L32" si="28">OverWorkTime(D31,I31,$L$4,K31,M31,S31,T31)</f>
        <v>0</v>
      </c>
      <c r="M31" s="39">
        <f>IF($D31&lt;&gt;3,NigthWorkTime($H31,$I31),IF($G31&lt;&gt;"",0,""))</f>
        <v>0</v>
      </c>
      <c r="N31" s="39">
        <f t="shared" ref="N31:N32" si="29">holidayWorkTime(D31,I31,K31,O31)</f>
        <v>0</v>
      </c>
      <c r="O31" s="39">
        <f>IF($D31=3,NigthWorkTime($H31,$I31),IF($G31&lt;&gt;"",0,""))</f>
        <v>0</v>
      </c>
      <c r="P31" s="39">
        <v>0</v>
      </c>
      <c r="Q31" s="52">
        <v>8</v>
      </c>
      <c r="R31" s="52"/>
      <c r="S31" s="52"/>
      <c r="T31" s="53" t="s">
        <v>47</v>
      </c>
      <c r="U31" s="54"/>
      <c r="V31" s="64"/>
      <c r="W31" s="65"/>
      <c r="X31" s="66"/>
    </row>
    <row r="32" spans="1:24" x14ac:dyDescent="0.15">
      <c r="A32" s="36">
        <f t="shared" si="6"/>
        <v>45161</v>
      </c>
      <c r="B32" s="37" t="str">
        <f t="shared" si="0"/>
        <v>水</v>
      </c>
      <c r="C32" s="43"/>
      <c r="D32" s="37">
        <f t="shared" si="7"/>
        <v>1</v>
      </c>
      <c r="E32" s="50" t="s">
        <v>49</v>
      </c>
      <c r="F32" s="51">
        <v>0.375</v>
      </c>
      <c r="G32" s="51">
        <v>0.75</v>
      </c>
      <c r="H32" s="38">
        <f t="shared" si="25"/>
        <v>0.375</v>
      </c>
      <c r="I32" s="38">
        <f t="shared" si="26"/>
        <v>0.75</v>
      </c>
      <c r="J32" s="39">
        <f t="shared" si="27"/>
        <v>1</v>
      </c>
      <c r="K32" s="39">
        <f>IF(G32&lt;&gt;"",TotalWorkTime(H32,I32,J32,R32),"")</f>
        <v>8</v>
      </c>
      <c r="L32" s="39">
        <f t="shared" si="28"/>
        <v>0</v>
      </c>
      <c r="M32" s="39">
        <f>IF($D32&lt;&gt;3,NigthWorkTime($H32,$I32),IF($G32&lt;&gt;"",0,""))</f>
        <v>0</v>
      </c>
      <c r="N32" s="39">
        <f t="shared" si="29"/>
        <v>0</v>
      </c>
      <c r="O32" s="39">
        <f>IF($D32=3,NigthWorkTime($H32,$I32),IF($G32&lt;&gt;"",0,""))</f>
        <v>0</v>
      </c>
      <c r="P32" s="39">
        <f t="shared" ref="P32" si="30">IF(K32&lt;&gt;"",K32-Q32,"")</f>
        <v>0</v>
      </c>
      <c r="Q32" s="52">
        <v>8</v>
      </c>
      <c r="R32" s="52"/>
      <c r="S32" s="52"/>
      <c r="T32" s="53" t="s">
        <v>47</v>
      </c>
      <c r="U32" s="54"/>
      <c r="V32" s="67"/>
      <c r="W32" s="65"/>
      <c r="X32" s="66"/>
    </row>
    <row r="33" spans="1:24" x14ac:dyDescent="0.15">
      <c r="A33" s="36">
        <f t="shared" si="6"/>
        <v>45162</v>
      </c>
      <c r="B33" s="37" t="str">
        <f t="shared" si="0"/>
        <v>木</v>
      </c>
      <c r="C33" s="43"/>
      <c r="D33" s="37">
        <f t="shared" si="7"/>
        <v>1</v>
      </c>
      <c r="E33" s="50" t="s">
        <v>49</v>
      </c>
      <c r="F33" s="51">
        <v>0.375</v>
      </c>
      <c r="G33" s="51">
        <v>0.75</v>
      </c>
      <c r="H33" s="38">
        <f t="shared" si="8"/>
        <v>0.375</v>
      </c>
      <c r="I33" s="38">
        <f t="shared" si="13"/>
        <v>0.75</v>
      </c>
      <c r="J33" s="39">
        <f t="shared" si="9"/>
        <v>1</v>
      </c>
      <c r="K33" s="39">
        <f>IF(G33&lt;&gt;"",TotalWorkTime(H33,I33,J33,R33),"")</f>
        <v>8</v>
      </c>
      <c r="L33" s="39">
        <f t="shared" si="10"/>
        <v>0</v>
      </c>
      <c r="M33" s="39">
        <f>IF($D33&lt;&gt;3,NigthWorkTime($H33,$I33),IF($G33&lt;&gt;"",0,""))</f>
        <v>0</v>
      </c>
      <c r="N33" s="39">
        <f t="shared" si="11"/>
        <v>0</v>
      </c>
      <c r="O33" s="39">
        <f>IF($D33=3,NigthWorkTime($H33,$I33),IF($G33&lt;&gt;"",0,""))</f>
        <v>0</v>
      </c>
      <c r="P33" s="39">
        <f t="shared" si="12"/>
        <v>0</v>
      </c>
      <c r="Q33" s="52">
        <v>8</v>
      </c>
      <c r="R33" s="52"/>
      <c r="S33" s="52"/>
      <c r="T33" s="53" t="s">
        <v>47</v>
      </c>
      <c r="U33" s="54"/>
      <c r="V33" s="64"/>
      <c r="W33" s="65"/>
      <c r="X33" s="66"/>
    </row>
    <row r="34" spans="1:24" x14ac:dyDescent="0.15">
      <c r="A34" s="36">
        <f t="shared" si="6"/>
        <v>45163</v>
      </c>
      <c r="B34" s="37" t="str">
        <f t="shared" si="0"/>
        <v>金</v>
      </c>
      <c r="C34" s="43"/>
      <c r="D34" s="37">
        <f t="shared" si="7"/>
        <v>1</v>
      </c>
      <c r="E34" s="50" t="s">
        <v>49</v>
      </c>
      <c r="F34" s="51">
        <v>0.375</v>
      </c>
      <c r="G34" s="51">
        <v>0.75</v>
      </c>
      <c r="H34" s="38">
        <f t="shared" si="8"/>
        <v>0.375</v>
      </c>
      <c r="I34" s="38">
        <f t="shared" si="13"/>
        <v>0.75</v>
      </c>
      <c r="J34" s="39">
        <f t="shared" si="9"/>
        <v>1</v>
      </c>
      <c r="K34" s="39">
        <f>IF(G34&lt;&gt;"",TotalWorkTime(H34,I34,J34,R34),"")</f>
        <v>8</v>
      </c>
      <c r="L34" s="39">
        <f t="shared" si="10"/>
        <v>0</v>
      </c>
      <c r="M34" s="39">
        <f>IF($D34&lt;&gt;3,NigthWorkTime($H34,$I34),IF($G34&lt;&gt;"",0,""))</f>
        <v>0</v>
      </c>
      <c r="N34" s="39">
        <f t="shared" si="11"/>
        <v>0</v>
      </c>
      <c r="O34" s="39">
        <f>IF($D34=3,NigthWorkTime($H34,$I34),IF($G34&lt;&gt;"",0,""))</f>
        <v>0</v>
      </c>
      <c r="P34" s="39">
        <f t="shared" si="12"/>
        <v>0</v>
      </c>
      <c r="Q34" s="52">
        <v>8</v>
      </c>
      <c r="R34" s="52"/>
      <c r="S34" s="52"/>
      <c r="T34" s="53" t="s">
        <v>47</v>
      </c>
      <c r="U34" s="54"/>
      <c r="V34" s="64"/>
      <c r="W34" s="65"/>
      <c r="X34" s="66"/>
    </row>
    <row r="35" spans="1:24" x14ac:dyDescent="0.15">
      <c r="A35" s="36">
        <f t="shared" si="6"/>
        <v>45164</v>
      </c>
      <c r="B35" s="37" t="str">
        <f t="shared" si="0"/>
        <v>土</v>
      </c>
      <c r="C35" s="43"/>
      <c r="D35" s="37">
        <f t="shared" si="7"/>
        <v>2</v>
      </c>
      <c r="E35" s="50"/>
      <c r="F35" s="51"/>
      <c r="G35" s="51"/>
      <c r="H35" s="38"/>
      <c r="I35" s="38"/>
      <c r="J35" s="39"/>
      <c r="K35" s="39"/>
      <c r="L35" s="39"/>
      <c r="M35" s="39"/>
      <c r="N35" s="39"/>
      <c r="O35" s="39"/>
      <c r="P35" s="39"/>
      <c r="Q35" s="52"/>
      <c r="R35" s="52"/>
      <c r="S35" s="52"/>
      <c r="T35" s="53" t="s">
        <v>47</v>
      </c>
      <c r="U35" s="54"/>
      <c r="V35" s="64"/>
      <c r="W35" s="65"/>
      <c r="X35" s="66"/>
    </row>
    <row r="36" spans="1:24" x14ac:dyDescent="0.15">
      <c r="A36" s="36">
        <f t="shared" si="6"/>
        <v>45165</v>
      </c>
      <c r="B36" s="37" t="str">
        <f t="shared" si="0"/>
        <v>日</v>
      </c>
      <c r="C36" s="43"/>
      <c r="D36" s="37">
        <f t="shared" si="7"/>
        <v>3</v>
      </c>
      <c r="E36" s="50"/>
      <c r="F36" s="51"/>
      <c r="G36" s="51"/>
      <c r="H36" s="38"/>
      <c r="I36" s="38"/>
      <c r="J36" s="39"/>
      <c r="K36" s="39"/>
      <c r="L36" s="39"/>
      <c r="M36" s="39"/>
      <c r="N36" s="39"/>
      <c r="O36" s="39"/>
      <c r="P36" s="39"/>
      <c r="Q36" s="52"/>
      <c r="R36" s="52"/>
      <c r="S36" s="52"/>
      <c r="T36" s="53" t="s">
        <v>47</v>
      </c>
      <c r="U36" s="54"/>
      <c r="V36" s="64"/>
      <c r="W36" s="65"/>
      <c r="X36" s="66"/>
    </row>
    <row r="37" spans="1:24" x14ac:dyDescent="0.15">
      <c r="A37" s="36">
        <f t="shared" si="6"/>
        <v>45166</v>
      </c>
      <c r="B37" s="37" t="str">
        <f t="shared" si="0"/>
        <v>月</v>
      </c>
      <c r="C37" s="43"/>
      <c r="D37" s="37">
        <f t="shared" si="7"/>
        <v>1</v>
      </c>
      <c r="E37" s="50" t="s">
        <v>49</v>
      </c>
      <c r="F37" s="51">
        <v>0.375</v>
      </c>
      <c r="G37" s="51">
        <v>0.75</v>
      </c>
      <c r="H37" s="38">
        <f t="shared" si="8"/>
        <v>0.375</v>
      </c>
      <c r="I37" s="38">
        <f t="shared" si="13"/>
        <v>0.75</v>
      </c>
      <c r="J37" s="39">
        <f t="shared" si="9"/>
        <v>1</v>
      </c>
      <c r="K37" s="39">
        <f>IF(G37&lt;&gt;"",TotalWorkTime(H37,I37,J37,R37),"")</f>
        <v>8</v>
      </c>
      <c r="L37" s="39">
        <f t="shared" si="10"/>
        <v>0</v>
      </c>
      <c r="M37" s="39">
        <f>IF($D37&lt;&gt;3,NigthWorkTime($H37,$I37),IF($G37&lt;&gt;"",0,""))</f>
        <v>0</v>
      </c>
      <c r="N37" s="39">
        <f t="shared" si="11"/>
        <v>0</v>
      </c>
      <c r="O37" s="39">
        <f>IF($D37=3,NigthWorkTime($H37,$I37),IF($G37&lt;&gt;"",0,""))</f>
        <v>0</v>
      </c>
      <c r="P37" s="39">
        <f t="shared" si="12"/>
        <v>0</v>
      </c>
      <c r="Q37" s="52">
        <v>8</v>
      </c>
      <c r="R37" s="52"/>
      <c r="S37" s="52"/>
      <c r="T37" s="53" t="s">
        <v>47</v>
      </c>
      <c r="U37" s="54"/>
      <c r="V37" s="64"/>
      <c r="W37" s="65"/>
      <c r="X37" s="66"/>
    </row>
    <row r="38" spans="1:24" x14ac:dyDescent="0.15">
      <c r="A38" s="36">
        <f t="shared" si="6"/>
        <v>45167</v>
      </c>
      <c r="B38" s="37" t="str">
        <f t="shared" si="0"/>
        <v>火</v>
      </c>
      <c r="C38" s="43"/>
      <c r="D38" s="37">
        <f t="shared" si="7"/>
        <v>1</v>
      </c>
      <c r="E38" s="50" t="s">
        <v>49</v>
      </c>
      <c r="F38" s="51">
        <v>0.375</v>
      </c>
      <c r="G38" s="51">
        <v>0.75</v>
      </c>
      <c r="H38" s="38">
        <f t="shared" ref="H38:H39" si="31">IF(F38&lt;&gt;"",CEILING(F38,TIME(0,15,0)),"")</f>
        <v>0.375</v>
      </c>
      <c r="I38" s="38">
        <f t="shared" ref="I38:I39" si="32">IF(G38&lt;&gt;"",FLOOR(G38,TIME(0,15,0)),"")</f>
        <v>0.75</v>
      </c>
      <c r="J38" s="39">
        <f t="shared" ref="J38:J39" si="33">BreakTime(D38,H38,I38)</f>
        <v>1</v>
      </c>
      <c r="K38" s="39">
        <f>IF(G38&lt;&gt;"",TotalWorkTime(H38,I38,J38,R38),"")</f>
        <v>8</v>
      </c>
      <c r="L38" s="39">
        <f t="shared" ref="L38:L39" si="34">OverWorkTime(D38,I38,$L$4,K38,M38,S38,T38)</f>
        <v>0</v>
      </c>
      <c r="M38" s="39">
        <f>IF($D38&lt;&gt;3,NigthWorkTime($H38,$I38),IF($G38&lt;&gt;"",0,""))</f>
        <v>0</v>
      </c>
      <c r="N38" s="39">
        <f t="shared" ref="N38:N39" si="35">holidayWorkTime(D38,I38,K38,O38)</f>
        <v>0</v>
      </c>
      <c r="O38" s="39">
        <f>IF($D38=3,NigthWorkTime($H38,$I38),IF($G38&lt;&gt;"",0,""))</f>
        <v>0</v>
      </c>
      <c r="P38" s="39">
        <v>0</v>
      </c>
      <c r="Q38" s="52">
        <v>8</v>
      </c>
      <c r="R38" s="52"/>
      <c r="S38" s="52"/>
      <c r="T38" s="53"/>
      <c r="U38" s="54"/>
      <c r="V38" s="64"/>
      <c r="W38" s="65"/>
      <c r="X38" s="66"/>
    </row>
    <row r="39" spans="1:24" x14ac:dyDescent="0.15">
      <c r="A39" s="36">
        <f t="shared" si="6"/>
        <v>45168</v>
      </c>
      <c r="B39" s="37" t="str">
        <f t="shared" si="0"/>
        <v>水</v>
      </c>
      <c r="C39" s="43"/>
      <c r="D39" s="37">
        <f>WorkKind(A39,C39,U39)</f>
        <v>1</v>
      </c>
      <c r="E39" s="50" t="s">
        <v>49</v>
      </c>
      <c r="F39" s="51">
        <v>0.375</v>
      </c>
      <c r="G39" s="51">
        <v>0.75</v>
      </c>
      <c r="H39" s="38">
        <f t="shared" si="31"/>
        <v>0.375</v>
      </c>
      <c r="I39" s="38">
        <f t="shared" si="32"/>
        <v>0.75</v>
      </c>
      <c r="J39" s="39">
        <f t="shared" si="33"/>
        <v>1</v>
      </c>
      <c r="K39" s="39">
        <f>IF(G39&lt;&gt;"",TotalWorkTime(H39,I39,J39,R39),"")</f>
        <v>8</v>
      </c>
      <c r="L39" s="39">
        <f t="shared" si="34"/>
        <v>0</v>
      </c>
      <c r="M39" s="39">
        <f>IF($D39&lt;&gt;3,NigthWorkTime($H39,$I39),IF($G39&lt;&gt;"",0,""))</f>
        <v>0</v>
      </c>
      <c r="N39" s="39">
        <f t="shared" si="35"/>
        <v>0</v>
      </c>
      <c r="O39" s="39">
        <f>IF($D39=3,NigthWorkTime($H39,$I39),IF($G39&lt;&gt;"",0,""))</f>
        <v>0</v>
      </c>
      <c r="P39" s="39">
        <f t="shared" ref="P39" si="36">IF(K39&lt;&gt;"",K39-Q39,"")</f>
        <v>0</v>
      </c>
      <c r="Q39" s="52">
        <v>8</v>
      </c>
      <c r="R39" s="52"/>
      <c r="S39" s="52"/>
      <c r="T39" s="53"/>
      <c r="U39" s="54"/>
      <c r="V39" s="64"/>
      <c r="W39" s="65"/>
      <c r="X39" s="66"/>
    </row>
    <row r="40" spans="1:24" x14ac:dyDescent="0.15">
      <c r="A40" s="36">
        <f t="shared" si="6"/>
        <v>45169</v>
      </c>
      <c r="B40" s="37" t="str">
        <f t="shared" si="0"/>
        <v>木</v>
      </c>
      <c r="C40" s="43"/>
      <c r="D40" s="37">
        <f>WorkKind(A40,C40,U40)</f>
        <v>1</v>
      </c>
      <c r="E40" s="50" t="s">
        <v>49</v>
      </c>
      <c r="F40" s="51">
        <v>0.375</v>
      </c>
      <c r="G40" s="51">
        <v>0.75</v>
      </c>
      <c r="H40" s="38">
        <f t="shared" si="8"/>
        <v>0.375</v>
      </c>
      <c r="I40" s="38">
        <f t="shared" si="13"/>
        <v>0.75</v>
      </c>
      <c r="J40" s="39">
        <f t="shared" si="9"/>
        <v>1</v>
      </c>
      <c r="K40" s="39">
        <f>IF(G40&lt;&gt;"",TotalWorkTime(H40,I40,J40,R40),"")</f>
        <v>8</v>
      </c>
      <c r="L40" s="39">
        <f t="shared" si="10"/>
        <v>0</v>
      </c>
      <c r="M40" s="39">
        <f>IF($D40&lt;&gt;3,NigthWorkTime($H40,$I40),IF($G40&lt;&gt;"",0,""))</f>
        <v>0</v>
      </c>
      <c r="N40" s="39">
        <f t="shared" si="11"/>
        <v>0</v>
      </c>
      <c r="O40" s="39">
        <f>IF($D40=3,NigthWorkTime($H40,$I40),IF($G40&lt;&gt;"",0,""))</f>
        <v>0</v>
      </c>
      <c r="P40" s="39">
        <f t="shared" si="12"/>
        <v>0</v>
      </c>
      <c r="Q40" s="52">
        <v>8</v>
      </c>
      <c r="R40" s="52"/>
      <c r="S40" s="52"/>
      <c r="T40" s="53"/>
      <c r="U40" s="54"/>
      <c r="V40" s="64"/>
      <c r="W40" s="65"/>
      <c r="X40" s="66"/>
    </row>
    <row r="41" spans="1:24" ht="2.1" customHeight="1" x14ac:dyDescent="0.15">
      <c r="E41" s="47"/>
      <c r="F41" s="48"/>
      <c r="G41" s="48"/>
      <c r="H41" s="49" t="str">
        <f t="shared" si="8"/>
        <v/>
      </c>
      <c r="I41" s="49" t="str">
        <f t="shared" si="13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160</v>
      </c>
      <c r="L42" s="26">
        <f>SUM(L10:L40)</f>
        <v>0</v>
      </c>
      <c r="M42" s="26">
        <f>SUM(M10:M40)</f>
        <v>0</v>
      </c>
      <c r="N42" s="26">
        <f>SUM(N10:N40)</f>
        <v>0</v>
      </c>
      <c r="O42" s="26">
        <f t="shared" ref="O42:S42" si="37">SUM(O10:O40)</f>
        <v>0</v>
      </c>
      <c r="P42" s="26">
        <f>SUM(P10:P40)</f>
        <v>0</v>
      </c>
      <c r="Q42" s="26">
        <f t="shared" si="37"/>
        <v>160</v>
      </c>
      <c r="R42" s="26">
        <f t="shared" si="37"/>
        <v>0</v>
      </c>
      <c r="S42" s="26">
        <f t="shared" si="37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0</v>
      </c>
      <c r="J45" s="29" t="s">
        <v>28</v>
      </c>
      <c r="K45" s="31"/>
      <c r="L45" s="32"/>
      <c r="M45" s="26">
        <f>IF((L42+M42)&gt;60,60,L42+M42)</f>
        <v>0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160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</v>
      </c>
      <c r="R46" s="55"/>
    </row>
    <row r="47" spans="1:24" x14ac:dyDescent="0.15">
      <c r="M47" s="27"/>
    </row>
  </sheetData>
  <mergeCells count="46"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</mergeCells>
  <phoneticPr fontId="1"/>
  <conditionalFormatting sqref="U18:U29 U30:X40 U11:X17 L12:S16 L27:S30 R11:S11 L10:Q11 L17:Q18 L19:P25 L33:S37 R31:S32 L31:P32 L40:S40 R38:S39 L38:P39 R17:S26 L26:Q26 E10:I40">
    <cfRule type="expression" dxfId="27" priority="31">
      <formula>IF((MONTH($A10)&lt;&gt;MONTH($F$1)),1,0)</formula>
    </cfRule>
  </conditionalFormatting>
  <conditionalFormatting sqref="D10 A10:B40 R10:S10 U10:X10">
    <cfRule type="expression" dxfId="26" priority="27">
      <formula>IF((MONTH($A10)&lt;&gt;MONTH($F$1)),1,0)</formula>
    </cfRule>
  </conditionalFormatting>
  <conditionalFormatting sqref="D40">
    <cfRule type="expression" dxfId="25" priority="29">
      <formula>IF((MONTH($A40)&lt;&gt;MONTH($F$1)),1,0)</formula>
    </cfRule>
  </conditionalFormatting>
  <conditionalFormatting sqref="D11:D39">
    <cfRule type="expression" dxfId="24" priority="28">
      <formula>IF((MONTH($A11)&lt;&gt;MONTH($F$1)),1,0)</formula>
    </cfRule>
  </conditionalFormatting>
  <conditionalFormatting sqref="A10:B40">
    <cfRule type="expression" dxfId="23" priority="30">
      <formula>IF(OR(WEEKDAY($A10,2)&gt;5,$C10="○"),1,0)</formula>
    </cfRule>
  </conditionalFormatting>
  <conditionalFormatting sqref="A11:B40">
    <cfRule type="expression" dxfId="22" priority="25">
      <formula>IF((MONTH($A11)&lt;&gt;MONTH($F$1)),1,0)</formula>
    </cfRule>
  </conditionalFormatting>
  <conditionalFormatting sqref="A11:B40">
    <cfRule type="expression" dxfId="21" priority="26">
      <formula>IF(WEEKDAY($A11,2)&gt;5,10)</formula>
    </cfRule>
  </conditionalFormatting>
  <conditionalFormatting sqref="J10:J40">
    <cfRule type="expression" dxfId="20" priority="24">
      <formula>IF((MONTH($A10)&lt;&gt;MONTH($F$1)),1,0)</formula>
    </cfRule>
  </conditionalFormatting>
  <conditionalFormatting sqref="K10:K40">
    <cfRule type="expression" dxfId="18" priority="22">
      <formula>IF((MONTH($A10)&lt;&gt;MONTH($F$1)),1,0)</formula>
    </cfRule>
  </conditionalFormatting>
  <conditionalFormatting sqref="K10:K40">
    <cfRule type="expression" dxfId="17" priority="21">
      <formula>IF((MONTH($A10)&lt;&gt;MONTH($F$1)),1,0)</formula>
    </cfRule>
  </conditionalFormatting>
  <conditionalFormatting sqref="V18:X29">
    <cfRule type="expression" dxfId="16" priority="20">
      <formula>IF((MONTH($A18)&lt;&gt;MONTH($F$1)),1,0)</formula>
    </cfRule>
  </conditionalFormatting>
  <conditionalFormatting sqref="C38:C40">
    <cfRule type="expression" dxfId="14" priority="18">
      <formula>IF((MONTH($A38)&lt;&gt;MONTH($F$1)),1,0)</formula>
    </cfRule>
  </conditionalFormatting>
  <conditionalFormatting sqref="C11:C37">
    <cfRule type="expression" dxfId="13" priority="17">
      <formula>IF((MONTH($A11)&lt;&gt;MONTH($F$1)),1,0)</formula>
    </cfRule>
  </conditionalFormatting>
  <conditionalFormatting sqref="C10">
    <cfRule type="expression" dxfId="12" priority="16">
      <formula>IF((MONTH($A10)&lt;&gt;MONTH($F$1)),1,0)</formula>
    </cfRule>
  </conditionalFormatting>
  <conditionalFormatting sqref="T38:T40">
    <cfRule type="expression" dxfId="11" priority="15">
      <formula>IF((MONTH($A38)&lt;&gt;MONTH($F$1)),1,0)</formula>
    </cfRule>
  </conditionalFormatting>
  <conditionalFormatting sqref="T10">
    <cfRule type="expression" dxfId="10" priority="14">
      <formula>IF((MONTH($A10)&lt;&gt;MONTH($F$1)),1,0)</formula>
    </cfRule>
  </conditionalFormatting>
  <conditionalFormatting sqref="T11:T12">
    <cfRule type="expression" dxfId="8" priority="11">
      <formula>IF((MONTH($A11)&lt;&gt;MONTH($F$1)),1,0)</formula>
    </cfRule>
  </conditionalFormatting>
  <conditionalFormatting sqref="T13:T37">
    <cfRule type="expression" dxfId="7" priority="10">
      <formula>IF((MONTH($A13)&lt;&gt;MONTH($F$1)),1,0)</formula>
    </cfRule>
  </conditionalFormatting>
  <conditionalFormatting sqref="Q19:Q25">
    <cfRule type="expression" dxfId="2" priority="3">
      <formula>IF((MONTH($A19)&lt;&gt;MONTH($F$1)),1,0)</formula>
    </cfRule>
  </conditionalFormatting>
  <conditionalFormatting sqref="Q31:Q32">
    <cfRule type="expression" dxfId="1" priority="2">
      <formula>IF((MONTH($A31)&lt;&gt;MONTH($F$1)),1,0)</formula>
    </cfRule>
  </conditionalFormatting>
  <conditionalFormatting sqref="Q38:Q39">
    <cfRule type="expression" dxfId="0" priority="1">
      <formula>IF((MONTH($A38)&lt;&gt;MONTH($F$1)),1,0)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2023-08-25T08:46:48Z</dcterms:modified>
</cp:coreProperties>
</file>